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OJE\Projekt_delegacje\wydanie\"/>
    </mc:Choice>
  </mc:AlternateContent>
  <xr:revisionPtr revIDLastSave="0" documentId="13_ncr:1_{0AC67D37-767D-47A4-AC4C-79126AD2CD4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alkulator" sheetId="1" r:id="rId1"/>
    <sheet name="Raport" sheetId="2" r:id="rId2"/>
    <sheet name="Delegacja" sheetId="3" r:id="rId3"/>
    <sheet name="Instrukcja" sheetId="4" r:id="rId4"/>
    <sheet name="Kursy NBP" sheetId="5" r:id="rId5"/>
    <sheet name="Kraje" sheetId="6" r:id="rId6"/>
    <sheet name="Parametry" sheetId="7" r:id="rId7"/>
  </sheets>
  <definedNames>
    <definedName name="_xlnm.Print_Area" localSheetId="2">Delegacja!$A$1:$I$82</definedName>
    <definedName name="_xlnm.Print_Area" localSheetId="0">Kalkulator!$A$1:$N$51</definedName>
    <definedName name="_xlnm.Print_Area" localSheetId="1">Raport!$A$1:$K$29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6" i="3" l="1"/>
  <c r="B73" i="3" a="1"/>
  <c r="B73" i="3" s="1"/>
  <c r="I66" i="3"/>
  <c r="F67" i="3"/>
  <c r="I52" i="3" a="1"/>
  <c r="I52" i="3" s="1"/>
  <c r="H52" i="3" a="1"/>
  <c r="H52" i="3" s="1"/>
  <c r="G52" i="3" a="1"/>
  <c r="G52" i="3" s="1"/>
  <c r="F52" i="3" a="1"/>
  <c r="F52" i="3" s="1"/>
  <c r="D52" i="3" a="1"/>
  <c r="D52" i="3" s="1"/>
  <c r="C52" i="3" a="1"/>
  <c r="C52" i="3" s="1"/>
  <c r="E52" i="3" a="1"/>
  <c r="E52" i="3" s="1"/>
  <c r="B52" i="3" a="1"/>
  <c r="B52" i="3" s="1"/>
  <c r="I51" i="3" a="1"/>
  <c r="I51" i="3" s="1"/>
  <c r="H51" i="3" a="1"/>
  <c r="H51" i="3" s="1"/>
  <c r="G51" i="3" a="1"/>
  <c r="G51" i="3" s="1"/>
  <c r="F51" i="3" a="1"/>
  <c r="F51" i="3" s="1"/>
  <c r="D51" i="3" a="1"/>
  <c r="D51" i="3" s="1"/>
  <c r="C51" i="3" a="1"/>
  <c r="C51" i="3" s="1"/>
  <c r="E51" i="3" a="1"/>
  <c r="E51" i="3" s="1"/>
  <c r="B51" i="3" a="1"/>
  <c r="B51" i="3" s="1"/>
  <c r="I50" i="3" a="1"/>
  <c r="I50" i="3" s="1"/>
  <c r="H50" i="3" a="1"/>
  <c r="H50" i="3" s="1"/>
  <c r="G50" i="3" a="1"/>
  <c r="G50" i="3" s="1"/>
  <c r="F50" i="3" a="1"/>
  <c r="F50" i="3" s="1"/>
  <c r="D50" i="3" a="1"/>
  <c r="D50" i="3" s="1"/>
  <c r="C50" i="3" a="1"/>
  <c r="C50" i="3" s="1"/>
  <c r="E50" i="3" a="1"/>
  <c r="E50" i="3" s="1"/>
  <c r="B50" i="3" a="1"/>
  <c r="B50" i="3" s="1"/>
  <c r="I49" i="3" a="1"/>
  <c r="I49" i="3" s="1"/>
  <c r="H49" i="3" a="1"/>
  <c r="H49" i="3" s="1"/>
  <c r="G49" i="3" a="1"/>
  <c r="G49" i="3" s="1"/>
  <c r="F49" i="3" a="1"/>
  <c r="F49" i="3" s="1"/>
  <c r="D49" i="3" a="1"/>
  <c r="D49" i="3" s="1"/>
  <c r="C49" i="3" a="1"/>
  <c r="C49" i="3" s="1"/>
  <c r="E49" i="3" a="1"/>
  <c r="E49" i="3" s="1"/>
  <c r="B49" i="3" a="1"/>
  <c r="B49" i="3" s="1"/>
  <c r="I48" i="3" a="1"/>
  <c r="I48" i="3" s="1"/>
  <c r="H48" i="3" a="1"/>
  <c r="H48" i="3" s="1"/>
  <c r="G48" i="3" a="1"/>
  <c r="G48" i="3" s="1"/>
  <c r="F48" i="3" a="1"/>
  <c r="F48" i="3" s="1"/>
  <c r="D48" i="3" a="1"/>
  <c r="D48" i="3" s="1"/>
  <c r="C48" i="3" a="1"/>
  <c r="C48" i="3" s="1"/>
  <c r="E48" i="3" a="1"/>
  <c r="E48" i="3" s="1"/>
  <c r="B48" i="3" a="1"/>
  <c r="B48" i="3" s="1"/>
  <c r="H47" i="3" a="1"/>
  <c r="H47" i="3" s="1"/>
  <c r="G47" i="3" a="1"/>
  <c r="G47" i="3" s="1"/>
  <c r="F47" i="3" a="1"/>
  <c r="F47" i="3" s="1"/>
  <c r="D47" i="3" a="1"/>
  <c r="D47" i="3" s="1"/>
  <c r="C47" i="3" a="1"/>
  <c r="C47" i="3" s="1"/>
  <c r="E47" i="3" a="1"/>
  <c r="E47" i="3" s="1"/>
  <c r="B47" i="3" a="1"/>
  <c r="B47" i="3" s="1"/>
  <c r="H46" i="3" a="1"/>
  <c r="H46" i="3" s="1"/>
  <c r="G46" i="3" a="1"/>
  <c r="G46" i="3" s="1"/>
  <c r="F46" i="3" a="1"/>
  <c r="F46" i="3" s="1"/>
  <c r="D46" i="3" a="1"/>
  <c r="D46" i="3" s="1"/>
  <c r="C46" i="3" a="1"/>
  <c r="C46" i="3" s="1"/>
  <c r="E46" i="3" a="1"/>
  <c r="E46" i="3" s="1"/>
  <c r="B46" i="3" a="1"/>
  <c r="B46" i="3" s="1"/>
  <c r="I45" i="3" a="1"/>
  <c r="I45" i="3" s="1"/>
  <c r="H45" i="3" a="1"/>
  <c r="H45" i="3" s="1"/>
  <c r="G45" i="3" a="1"/>
  <c r="G45" i="3" s="1"/>
  <c r="F45" i="3" a="1"/>
  <c r="F45" i="3" s="1"/>
  <c r="D45" i="3" a="1"/>
  <c r="D45" i="3" s="1"/>
  <c r="C45" i="3" a="1"/>
  <c r="C45" i="3" s="1"/>
  <c r="E45" i="3" a="1"/>
  <c r="E45" i="3" s="1"/>
  <c r="B45" i="3" a="1"/>
  <c r="B45" i="3" s="1"/>
  <c r="B26" i="3"/>
  <c r="B25" i="3" a="1"/>
  <c r="B25" i="3" s="1"/>
  <c r="B18" i="3"/>
  <c r="B16" i="3"/>
  <c r="B15" i="3"/>
  <c r="B14" i="3" a="1"/>
  <c r="B14" i="3" s="1"/>
  <c r="B12" i="3"/>
  <c r="B10" i="3"/>
  <c r="B8" i="3"/>
  <c r="B7" i="3"/>
  <c r="B29" i="2"/>
  <c r="B28" i="2"/>
  <c r="I20" i="2"/>
  <c r="E20" i="2"/>
  <c r="F19" i="2"/>
  <c r="C19" i="2"/>
  <c r="I18" i="2"/>
  <c r="H18" i="2"/>
  <c r="B18" i="2"/>
  <c r="E12" i="2"/>
  <c r="E11" i="2"/>
  <c r="E10" i="2"/>
  <c r="E9" i="2" a="1"/>
  <c r="E9" i="2" s="1"/>
  <c r="E8" i="2"/>
  <c r="E7" i="2"/>
  <c r="M1" i="1"/>
  <c r="K1" i="1"/>
  <c r="F50" i="1"/>
  <c r="I59" i="3" s="1"/>
  <c r="E50" i="1"/>
  <c r="F49" i="1"/>
  <c r="I58" i="3" s="1"/>
  <c r="E49" i="1"/>
  <c r="F47" i="1"/>
  <c r="I54" i="3" s="1"/>
  <c r="E47" i="1"/>
  <c r="F46" i="1"/>
  <c r="I53" i="3" s="1"/>
  <c r="E46" i="1"/>
  <c r="C35" i="1"/>
  <c r="D35" i="1" s="1"/>
  <c r="E35" i="1" s="1"/>
  <c r="C34" i="1"/>
  <c r="D34" i="1" s="1"/>
  <c r="E34" i="1" s="1"/>
  <c r="M28" i="1"/>
  <c r="L28" i="1"/>
  <c r="K28" i="1"/>
  <c r="J28" i="1"/>
  <c r="I28" i="1"/>
  <c r="H28" i="1"/>
  <c r="G28" i="1"/>
  <c r="F28" i="1"/>
  <c r="E28" i="1"/>
  <c r="D28" i="1"/>
  <c r="C28" i="1"/>
  <c r="K20" i="2" s="1"/>
  <c r="M27" i="1"/>
  <c r="L27" i="1"/>
  <c r="K27" i="1"/>
  <c r="J27" i="1"/>
  <c r="I27" i="1"/>
  <c r="H27" i="1"/>
  <c r="G27" i="1"/>
  <c r="F27" i="1"/>
  <c r="E27" i="1"/>
  <c r="D27" i="1"/>
  <c r="C27" i="1"/>
  <c r="B19" i="2" s="1"/>
  <c r="M26" i="1"/>
  <c r="L26" i="1"/>
  <c r="K26" i="1"/>
  <c r="J26" i="1"/>
  <c r="I26" i="1"/>
  <c r="H26" i="1"/>
  <c r="G26" i="1"/>
  <c r="F26" i="1"/>
  <c r="E26" i="1"/>
  <c r="D26" i="1"/>
  <c r="C26" i="1"/>
  <c r="E18" i="2" s="1"/>
  <c r="J25" i="1"/>
  <c r="G25" i="1"/>
  <c r="F25" i="1"/>
  <c r="H25" i="1" s="1"/>
  <c r="I25" i="1" s="1"/>
  <c r="K25" i="1" s="1"/>
  <c r="E25" i="1"/>
  <c r="D25" i="1"/>
  <c r="C25" i="1"/>
  <c r="G17" i="2" s="1"/>
  <c r="G24" i="1"/>
  <c r="H24" i="1" s="1"/>
  <c r="I24" i="1" s="1"/>
  <c r="F24" i="1"/>
  <c r="E24" i="1"/>
  <c r="D24" i="1"/>
  <c r="C40" i="1" s="1"/>
  <c r="D40" i="1" s="1"/>
  <c r="E40" i="1" s="1"/>
  <c r="C24" i="1"/>
  <c r="N20" i="1"/>
  <c r="I47" i="3" s="1" a="1"/>
  <c r="I47" i="3" s="1"/>
  <c r="N19" i="1"/>
  <c r="N18" i="1"/>
  <c r="N17" i="1"/>
  <c r="N16" i="1"/>
  <c r="I46" i="3" s="1" a="1"/>
  <c r="I46" i="3" s="1"/>
  <c r="N15" i="1"/>
  <c r="I23" i="5"/>
  <c r="I25" i="5" s="1" a="1"/>
  <c r="I25" i="5" s="1"/>
  <c r="F23" i="5"/>
  <c r="F25" i="5" s="1" a="1"/>
  <c r="F25" i="5" s="1"/>
  <c r="C22" i="5"/>
  <c r="C21" i="5"/>
  <c r="G23" i="5" s="1"/>
  <c r="G25" i="5" s="1" a="1"/>
  <c r="G25" i="5" s="1"/>
  <c r="N17" i="5"/>
  <c r="E17" i="5" s="1"/>
  <c r="N10" i="5"/>
  <c r="D10" i="5" s="1"/>
  <c r="C5" i="5"/>
  <c r="N13" i="5" s="1"/>
  <c r="C4" i="5"/>
  <c r="E13" i="5" l="1"/>
  <c r="D13" i="5"/>
  <c r="C13" i="5"/>
  <c r="I13" i="5" s="1"/>
  <c r="E16" i="2"/>
  <c r="J17" i="2"/>
  <c r="N14" i="5"/>
  <c r="C17" i="5"/>
  <c r="I17" i="5" s="1"/>
  <c r="H23" i="5"/>
  <c r="H25" i="5" s="1" a="1"/>
  <c r="H25" i="5" s="1"/>
  <c r="B16" i="2"/>
  <c r="K17" i="2"/>
  <c r="D19" i="2"/>
  <c r="H20" i="2"/>
  <c r="E10" i="5"/>
  <c r="N11" i="5"/>
  <c r="C16" i="2"/>
  <c r="D16" i="2"/>
  <c r="H17" i="2"/>
  <c r="G19" i="2"/>
  <c r="C36" i="1"/>
  <c r="D36" i="1" s="1"/>
  <c r="E36" i="1" s="1"/>
  <c r="N15" i="5"/>
  <c r="D17" i="5"/>
  <c r="C41" i="1"/>
  <c r="D41" i="1" s="1"/>
  <c r="E41" i="1" s="1"/>
  <c r="E17" i="2"/>
  <c r="I17" i="2"/>
  <c r="C37" i="1"/>
  <c r="D37" i="1" s="1"/>
  <c r="E37" i="1" s="1"/>
  <c r="C18" i="2"/>
  <c r="E19" i="2"/>
  <c r="N12" i="5"/>
  <c r="C23" i="5"/>
  <c r="K23" i="5"/>
  <c r="K25" i="5" s="1" a="1"/>
  <c r="K25" i="5" s="1"/>
  <c r="K16" i="2"/>
  <c r="D18" i="2"/>
  <c r="H19" i="2"/>
  <c r="F16" i="2"/>
  <c r="J19" i="2"/>
  <c r="G16" i="2"/>
  <c r="D23" i="5"/>
  <c r="D25" i="5" s="1" a="1"/>
  <c r="D25" i="5" s="1"/>
  <c r="L23" i="5"/>
  <c r="L25" i="5" s="1" a="1"/>
  <c r="L25" i="5" s="1"/>
  <c r="J24" i="1"/>
  <c r="K24" i="1" s="1"/>
  <c r="C38" i="1"/>
  <c r="D38" i="1" s="1"/>
  <c r="E38" i="1" s="1"/>
  <c r="H16" i="2"/>
  <c r="G18" i="2"/>
  <c r="B20" i="2"/>
  <c r="J23" i="5"/>
  <c r="J25" i="5" s="1" a="1"/>
  <c r="J25" i="5" s="1"/>
  <c r="I16" i="2"/>
  <c r="J18" i="2"/>
  <c r="C20" i="2"/>
  <c r="E23" i="5"/>
  <c r="E25" i="5" s="1" a="1"/>
  <c r="E25" i="5" s="1"/>
  <c r="N8" i="5"/>
  <c r="C42" i="1"/>
  <c r="D42" i="1" s="1"/>
  <c r="E42" i="1" s="1"/>
  <c r="K19" i="2"/>
  <c r="N9" i="5"/>
  <c r="F18" i="2"/>
  <c r="I19" i="2"/>
  <c r="N16" i="5"/>
  <c r="B17" i="2"/>
  <c r="K18" i="2"/>
  <c r="D20" i="2"/>
  <c r="C39" i="1"/>
  <c r="D39" i="1" s="1"/>
  <c r="E39" i="1" s="1"/>
  <c r="C17" i="2"/>
  <c r="F20" i="2"/>
  <c r="D17" i="2"/>
  <c r="G20" i="2"/>
  <c r="C10" i="5"/>
  <c r="I10" i="5" s="1"/>
  <c r="F17" i="2"/>
  <c r="J20" i="2"/>
  <c r="I55" i="3"/>
  <c r="C33" i="1" l="1"/>
  <c r="J16" i="2"/>
  <c r="B25" i="5" a="1"/>
  <c r="B25" i="5" s="1"/>
  <c r="C25" i="5" a="1"/>
  <c r="C25" i="5" s="1"/>
  <c r="E16" i="5"/>
  <c r="C16" i="5"/>
  <c r="I16" i="5" s="1"/>
  <c r="D16" i="5"/>
  <c r="E12" i="5"/>
  <c r="D12" i="5"/>
  <c r="C12" i="5"/>
  <c r="I12" i="5" s="1"/>
  <c r="E14" i="5"/>
  <c r="C14" i="5"/>
  <c r="I14" i="5" s="1"/>
  <c r="D14" i="5"/>
  <c r="E15" i="5"/>
  <c r="D15" i="5"/>
  <c r="C15" i="5"/>
  <c r="I15" i="5" s="1"/>
  <c r="D8" i="5"/>
  <c r="C8" i="5"/>
  <c r="E8" i="5"/>
  <c r="E9" i="5"/>
  <c r="D9" i="5"/>
  <c r="C9" i="5"/>
  <c r="I9" i="5" s="1"/>
  <c r="E11" i="5"/>
  <c r="D11" i="5"/>
  <c r="C11" i="5"/>
  <c r="I11" i="5" s="1"/>
  <c r="E24" i="2" l="1" a="1"/>
  <c r="E24" i="2" s="1"/>
  <c r="F48" i="1"/>
  <c r="I57" i="3" s="1"/>
  <c r="E48" i="1"/>
  <c r="I8" i="5"/>
  <c r="L24" i="1"/>
  <c r="M24" i="1" s="1"/>
  <c r="L25" i="1"/>
  <c r="M25" i="1" s="1"/>
  <c r="D33" i="1"/>
  <c r="E33" i="1" s="1"/>
  <c r="E23" i="2" a="1"/>
  <c r="E23" i="2" s="1"/>
  <c r="M29" i="1" l="1"/>
  <c r="E1" i="1" a="1"/>
  <c r="E1" i="1" s="1"/>
  <c r="B1" i="3" l="1" a="1"/>
  <c r="B1" i="3" s="1"/>
  <c r="B4" i="2"/>
  <c r="I2" i="1"/>
  <c r="I1" i="1" a="1"/>
  <c r="I1" i="1" s="1"/>
  <c r="F51" i="1"/>
  <c r="M2" i="1" s="1"/>
  <c r="E25" i="2"/>
  <c r="I56" i="3"/>
  <c r="I60" i="3" s="1"/>
  <c r="K2" i="1" l="1"/>
  <c r="I67" i="3"/>
  <c r="I61" i="3" a="1"/>
  <c r="I6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Kalkulator</author>
  </authors>
  <commentList>
    <comment ref="K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Wyjazd z domu / siedziby. Puste = przekroczenie granicy z etapu 1.</t>
        </r>
      </text>
    </comment>
    <comment ref="K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Powrót do domu / siedziby. Puste = powrót przez granicę.</t>
        </r>
      </text>
    </comment>
    <comment ref="K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Dzień wypłaty zaliczki / rozliczenia. Kurs średni NBP pobiera się automatycznie.</t>
        </r>
      </text>
    </comment>
    <comment ref="K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„dzień przed” = ostatni dzień roboczy przed datą (praktyka podatkowa); „w dniu” = §20 rozporządzenia.</t>
        </r>
      </text>
    </comment>
    <comment ref="K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Tylko do druku delegacji: pomniejsza kwotę do wypłaty.</t>
        </r>
      </text>
    </comment>
    <comment ref="C1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Domyślny środek lokomocji w tabeli przejazdów delegacji.</t>
        </r>
      </text>
    </comment>
    <comment ref="K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Rachunki, bilety itp. – do pola „Załączam … dowodów”.</t>
        </r>
      </text>
    </comment>
    <comment ref="B14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Każdy kraj to osobny etap. Etap trwa do wjazdu do następnego kraju albo do powrotu przez granicę.
Kolejny wiersz uaktywnia się po wybraniu kraju w poprzednim.</t>
        </r>
      </text>
    </comment>
    <comment ref="E1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Liczba posiłków zapewnionych w tym kraju (np. śniadania w cenie hotelu) – pomniejszają dietę (§14).</t>
        </r>
      </text>
    </comment>
    <comment ref="K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Puste = środek lokomocji z sekcji 1.</t>
        </r>
      </text>
    </comment>
    <comment ref="D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Podróż lądowa: chwila przekroczenia granicy.
Samolot: start z ostatniego lotniska w kraju (§12).
Kolejny etap: wjazd do kolejnego kraju.</t>
        </r>
      </text>
    </comment>
    <comment ref="I1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Godzina dotarcia na miejsce (hotel / klient).
Puste = chwila wjazdu do kraju.
Tylko do druku delegacji – nie wpływa na dietę.</t>
        </r>
      </text>
    </comment>
    <comment ref="J15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Godzina wyjazdu z miejscowości (np. z hotelu).
Puste = wjazd do kolejnego kraju albo powrót przez granicę.
Tylko do druku delegacji – nie wpływa na dietę.</t>
        </r>
      </text>
    </comment>
    <comment ref="D20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Podróż lądowa: przekroczenie granicy w drodze powrotnej.
Samolot: lądowanie na pierwszym lotnisku w kraju.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<sst xmlns="http://schemas.openxmlformats.org/spreadsheetml/2006/main" count="539" uniqueCount="344">
  <si>
    <t>Kalkulator diety zagranicznej</t>
  </si>
  <si>
    <t>Kontrola danych:</t>
  </si>
  <si>
    <t>ver. 2.5 (09.10.2026) · wg rozporządzenia MPiPS z 29.01.2013 (t.j. Dz.U. 2023 poz. 2190) · kursy NBP pobierane automatycznie</t>
  </si>
  <si>
    <t>Legenda:</t>
  </si>
  <si>
    <t>wymagane</t>
  </si>
  <si>
    <t>do wpisania (opcjonalne)</t>
  </si>
  <si>
    <t>liczy się samo</t>
  </si>
  <si>
    <t>błąd w danych</t>
  </si>
  <si>
    <t>1. Dane podróży i polecenia wyjazdu</t>
  </si>
  <si>
    <t>Pracownik (imię i nazwisko)</t>
  </si>
  <si>
    <t>Jan Kowalski</t>
  </si>
  <si>
    <t>Wyjazd z miejscowości (data i godz.)</t>
  </si>
  <si>
    <t>Stanowisko służbowe</t>
  </si>
  <si>
    <t>Serwisant</t>
  </si>
  <si>
    <t>Powrót do miejscowości (data i godz.)</t>
  </si>
  <si>
    <t>Cel podróży / zlecenie serwisowe</t>
  </si>
  <si>
    <t>Serwis linii pakującej – klient w Monachium i Linzu</t>
  </si>
  <si>
    <t>Data kursu NBP</t>
  </si>
  <si>
    <t>Nr polecenia wyjazdu</t>
  </si>
  <si>
    <t>1/2026</t>
  </si>
  <si>
    <t>Kurs NBP z dnia</t>
  </si>
  <si>
    <t>dzień przed datą kursu</t>
  </si>
  <si>
    <t>Data polecenia (z dnia)</t>
  </si>
  <si>
    <t>Pobrana zaliczka (zł)</t>
  </si>
  <si>
    <t>Miejscowość wyjazdu i powrotu</t>
  </si>
  <si>
    <t>Poznań</t>
  </si>
  <si>
    <t>Termin rozliczenia zaliczki (dni)</t>
  </si>
  <si>
    <t>Środki lokomocji</t>
  </si>
  <si>
    <t>samochód służbowy</t>
  </si>
  <si>
    <t>Liczba załączonych dowodów</t>
  </si>
  <si>
    <t>2. Pobyt za granicą – kraj, wjazd i zapewnione posiłki (dieta)</t>
  </si>
  <si>
    <t>Miejscowość i godziny (do druku delegacji)</t>
  </si>
  <si>
    <t>Przejazd (do rachunku kosztów)</t>
  </si>
  <si>
    <t>Etap</t>
  </si>
  <si>
    <t>Kraj</t>
  </si>
  <si>
    <t>Wjazd do kraju (data i godz.)</t>
  </si>
  <si>
    <t>Śniadania (szt.)</t>
  </si>
  <si>
    <t>Obiady (szt.)</t>
  </si>
  <si>
    <t>Kolacje (szt.)</t>
  </si>
  <si>
    <t>Miejscowość</t>
  </si>
  <si>
    <t>Przyjazd (data i godz.)</t>
  </si>
  <si>
    <t>Wyjazd (data i godz.)</t>
  </si>
  <si>
    <t>Środek lokomocji</t>
  </si>
  <si>
    <t>Koszt</t>
  </si>
  <si>
    <t>Waluta</t>
  </si>
  <si>
    <t>Koszt (PLN)</t>
  </si>
  <si>
    <t>Etap 1</t>
  </si>
  <si>
    <t>Niemcy</t>
  </si>
  <si>
    <t>Monachium</t>
  </si>
  <si>
    <t>PLN</t>
  </si>
  <si>
    <t>Etap 2</t>
  </si>
  <si>
    <t>Austria</t>
  </si>
  <si>
    <t>Linz</t>
  </si>
  <si>
    <t>Etap 3</t>
  </si>
  <si>
    <t>Etap 4</t>
  </si>
  <si>
    <t>Etap 5</t>
  </si>
  <si>
    <t>Powrót</t>
  </si>
  <si>
    <t>Polska</t>
  </si>
  <si>
    <t>koniec pobytu za granicą (§12)</t>
  </si>
  <si>
    <t>3. Wyliczenie diety (automatycznie)</t>
  </si>
  <si>
    <t>Dieta za dobę</t>
  </si>
  <si>
    <t>Od</t>
  </si>
  <si>
    <t>Do</t>
  </si>
  <si>
    <t>Czas (godz.)</t>
  </si>
  <si>
    <t>Liczba diet</t>
  </si>
  <si>
    <t>Potrącenie za posiłki</t>
  </si>
  <si>
    <t>Dieta należna (waluta)</t>
  </si>
  <si>
    <t>Kurs NBP</t>
  </si>
  <si>
    <t>Dieta należna (PLN)</t>
  </si>
  <si>
    <t>DIETA RAZEM (PLN)</t>
  </si>
  <si>
    <t>4. Dieta według walut</t>
  </si>
  <si>
    <t>Dieta (waluta)</t>
  </si>
  <si>
    <t>Dieta (PLN)</t>
  </si>
  <si>
    <t>EUR</t>
  </si>
  <si>
    <t>USD</t>
  </si>
  <si>
    <t>AUD</t>
  </si>
  <si>
    <t>DKK</t>
  </si>
  <si>
    <t>JPY</t>
  </si>
  <si>
    <t>CAD</t>
  </si>
  <si>
    <t>NOK</t>
  </si>
  <si>
    <t>CHF</t>
  </si>
  <si>
    <t>SEK</t>
  </si>
  <si>
    <t>GBP</t>
  </si>
  <si>
    <t>5. Pozostałe koszty podróży (do rachunku kosztów w arkuszu „Delegacja”)</t>
  </si>
  <si>
    <t>Pozycja</t>
  </si>
  <si>
    <t>Kwota</t>
  </si>
  <si>
    <t>Kwota (PLN)</t>
  </si>
  <si>
    <t>Ryczałty za dojazdy</t>
  </si>
  <si>
    <t>Ryczałt za dojazdy: 10% diety za każdą rozpoczętą dobę pobytu (§16 ust. 3).</t>
  </si>
  <si>
    <t>Dojazdy udokumentowane</t>
  </si>
  <si>
    <t>Noclegi wg rachunków</t>
  </si>
  <si>
    <t>Noclegi – ryczałt</t>
  </si>
  <si>
    <t>Ryczałt za nocleg bez rachunku: 25% limitu noclegu danego kraju (§16 ust. 2).</t>
  </si>
  <si>
    <t>Inne wydatki wg załączników</t>
  </si>
  <si>
    <t>Np. parking, opłaty drogowe, wiza, telefon – wg rachunków.</t>
  </si>
  <si>
    <t>OGÓŁEM do rozliczenia (PLN): diety + przejazdy + pozostałe koszty</t>
  </si>
  <si>
    <t>Rozliczenie diety z tytułu zagranicznej podróży służbowej</t>
  </si>
  <si>
    <t>wg rozporządzenia MPiPS z 29.01.2013 (t.j. Dz.U. 2023 poz. 2190) · kursy średnie NBP (tabela A)</t>
  </si>
  <si>
    <t>Dane podróży</t>
  </si>
  <si>
    <t>Pracownik:</t>
  </si>
  <si>
    <t>Cel podróży:</t>
  </si>
  <si>
    <t>Kraj docelowy:</t>
  </si>
  <si>
    <t>Data i godzina rozpoczęcia:</t>
  </si>
  <si>
    <t>Data i godzina zakończenia:</t>
  </si>
  <si>
    <t>Czas podróży:</t>
  </si>
  <si>
    <t>Diety</t>
  </si>
  <si>
    <t>Czas pobytu</t>
  </si>
  <si>
    <t>Wysokość diet</t>
  </si>
  <si>
    <t>Należna dieta</t>
  </si>
  <si>
    <t>Koszty podróży</t>
  </si>
  <si>
    <t>Należne diety w walucie:</t>
  </si>
  <si>
    <t>Kurs średni NBP:</t>
  </si>
  <si>
    <t>Koszt całkowity w PLN:</t>
  </si>
  <si>
    <t>STWIERDZENIE POBYTU SŁUŻBOWEGO</t>
  </si>
  <si>
    <t>Pieczątka wysyłającego</t>
  </si>
  <si>
    <t>POLECENIE WYJAZDU</t>
  </si>
  <si>
    <t>(imię i nazwisko)</t>
  </si>
  <si>
    <t>(stanowisko służbowe)</t>
  </si>
  <si>
    <t>środki lokomocji</t>
  </si>
  <si>
    <t xml:space="preserve">. . . . . . . </t>
  </si>
  <si>
    <t xml:space="preserve">. . . . . . . . . . . . </t>
  </si>
  <si>
    <t>data</t>
  </si>
  <si>
    <t>podpis wysyłającego</t>
  </si>
  <si>
    <t>Podpis delegowanego</t>
  </si>
  <si>
    <t xml:space="preserve">Zatwierdzono na zł . . . . . . . .  słownie zł . . . . . . . . . . . . . . . . . . . . . . . . . . . . . . . . . . . . . . . . </t>
  </si>
  <si>
    <t xml:space="preserve">do wypłaty z sum . . . . . . . . . . . . . . </t>
  </si>
  <si>
    <t>Konto</t>
  </si>
  <si>
    <t>Nr dowodu</t>
  </si>
  <si>
    <t>Część</t>
  </si>
  <si>
    <t>Dział</t>
  </si>
  <si>
    <t>Rozdział</t>
  </si>
  <si>
    <t>§</t>
  </si>
  <si>
    <t>Poz.</t>
  </si>
  <si>
    <t>Wn</t>
  </si>
  <si>
    <t>Ma</t>
  </si>
  <si>
    <t xml:space="preserve">. . . . . . . . . . . . . . </t>
  </si>
  <si>
    <t>podpisy sprawdzających</t>
  </si>
  <si>
    <t>str. 1</t>
  </si>
  <si>
    <t>RACHUNEK KOSZTÓW PODRÓŻY</t>
  </si>
  <si>
    <t>W Y J A Z D</t>
  </si>
  <si>
    <t>P R Z Y J A Z D</t>
  </si>
  <si>
    <t>Środki lokomocji*)</t>
  </si>
  <si>
    <t>Koszty przejazdu</t>
  </si>
  <si>
    <t>miejscowość</t>
  </si>
  <si>
    <t>godz.</t>
  </si>
  <si>
    <t>zł i gr</t>
  </si>
  <si>
    <t>Rachunek sprawdzono pod względem</t>
  </si>
  <si>
    <t>Merytorycznym</t>
  </si>
  <si>
    <t>Formalnym
i rachunkowym</t>
  </si>
  <si>
    <t>Razem przejazdy, dojazdy</t>
  </si>
  <si>
    <t xml:space="preserve">. . . . .    . . . . . . </t>
  </si>
  <si>
    <t>Data            podpis</t>
  </si>
  <si>
    <t xml:space="preserve">Zatwierdzono na zł . . . . . . . . . . </t>
  </si>
  <si>
    <t>Ogółem</t>
  </si>
  <si>
    <t xml:space="preserve">słownie . . . . . . . . . . . . . . . . . . . . . . . . . . . . . . . . </t>
  </si>
  <si>
    <t>Słownie złotych:</t>
  </si>
  <si>
    <t xml:space="preserve">. . . . . . . . . . . . . . . . . . . . . . . . . . . . . . . . . . . . . . . . </t>
  </si>
  <si>
    <t xml:space="preserve">. . . . . . .         . . . . . . . . . . . . . . . . </t>
  </si>
  <si>
    <t>data                              podpisy zatwierdzających</t>
  </si>
  <si>
    <t>Załączam</t>
  </si>
  <si>
    <t>Pobrano zaliczkę</t>
  </si>
  <si>
    <t xml:space="preserve">Kwituję odbiór zł . . . . . . . . . . . . </t>
  </si>
  <si>
    <t>Do wypłaty - zwrotu</t>
  </si>
  <si>
    <t xml:space="preserve">Słownie zł . . . . . . . . . . . . . . . . . . . . . . . . . . . . . . </t>
  </si>
  <si>
    <t>Niniejszy rachunek przedkładam</t>
  </si>
  <si>
    <t xml:space="preserve">. . . . . . . .         . . . . . . . . . . . . . . </t>
  </si>
  <si>
    <t xml:space="preserve">. . . . . . . . . . </t>
  </si>
  <si>
    <t>data                              podpis</t>
  </si>
  <si>
    <t>podpis</t>
  </si>
  <si>
    <t xml:space="preserve">. . . . . . . . . . . . . . . . . . . . . . </t>
  </si>
  <si>
    <t>imię i nazwisko delegowanego</t>
  </si>
  <si>
    <t>data i podpis delegowanego</t>
  </si>
  <si>
    <t>*) Wymienić środek lokomocji, klasę, rodzaj biletu (bezpłatny, ulgowy, normalny). W podróżach przy użyciu własnych środków lokomocji (samochód, motocykl, motorower) podać również ilość km i stawkę za 1 km.</t>
  </si>
  <si>
    <t>str. 2</t>
  </si>
  <si>
    <t>Jak korzystać z kalkulatora diety zagranicznej</t>
  </si>
  <si>
    <t>Wersja 2.5 z 09.10.2026: kurs ręczny awaryjny; kontrola pustych etapów, posiłków i dat; druk delegacji (polecenie wyjazdu + rachunek kosztów), koszty przejazdów, noclegów i ryczałtów, kafelki z wynikiem, oznaczenie pól wymaganych i błędów, ochrona arkuszy.</t>
  </si>
  <si>
    <t>1. Arkusz „Kalkulator” – wypełniaj tylko żółte pola z niebieskim tekstem. Pozostałe komórki liczą się same.</t>
  </si>
  <si>
    <t>2. Sekcja 2: każdy kraj to osobny etap. Wpisz chwilę przekroczenia granicy (samolot: start z ostatniego lotniska w kraju), np. 14.09.2026 10:30.</t>
  </si>
  <si>
    <t xml:space="preserve">    Etap kończy się wjazdem do kolejnego kraju. W wierszu „Powrót” wpisz przekroczenie granicy PL (samolot: lądowanie w kraju).</t>
  </si>
  <si>
    <t>3. Waluta i stawka diety ustawiają się automatycznie po wybraniu kraju (arkusz „Kraje”).</t>
  </si>
  <si>
    <t>4. Kursy średnie NBP pobierają się automatycznie z api.nbp.pl (arkusz „Kursy NBP”). Wymagany internet i Excel z Microsoft 365 lub Excel 2024 na Windows.</t>
  </si>
  <si>
    <t xml:space="preserve">    Plik pobrany z internetu otwiera się w Widoku chronionym – kliknij „Włącz edytowanie” (i „Włącz zawartość”, jeśli Excel zapyta), inaczej kursy się nie pobiorą.</t>
  </si>
  <si>
    <t xml:space="preserve">    Jeśli kursy się nie odświeżyły: Ctrl+Alt+F9.</t>
  </si>
  <si>
    <t xml:space="preserve">    Gdy kursy nie pobierają się wcale (np. sieć firmowa blokuje api.nbp.pl): w arkuszu „Kursy NBP” wpisz kurs ręczny z datą notowania i nr tabeli (kolumny F–H) – zastąpi kurs z NBP.</t>
  </si>
  <si>
    <t>5. „Kontrola danych” (góra arkusza) pokazuje OK albo opis błędu w danych. Kafelki obok pokazują kwotę do wypłaty (zawsze dieta), wydatki pokrywane z zaliczki na wydatki i ogółem do rozliczenia.</t>
  </si>
  <si>
    <t xml:space="preserve">    Arkusze są chronione bez hasła – można wpisywać tylko w żółte pola. Żeby zmienić coś innego: Recenzja → Nie chroń arkusza.</t>
  </si>
  <si>
    <t>6. Wydruk: przejdź do arkusza „Raport” i naciśnij Ctrl+P (albo Plik → Eksportuj → PDF). Raport mieści się na jednej stronie A4.</t>
  </si>
  <si>
    <t>7. Druk delegacji: arkusz „Delegacja” (polecenie wyjazdu + rachunek kosztów podróży, 2 strony A4) wypełnia się sam z Kalkulatora.</t>
  </si>
  <si>
    <t xml:space="preserve">    Godziny przyjazdu do miejscowości i wyjazdu z niej: kolumny I–J etapów. Koszty przejazdu: kolumny K–N (wiersz „Powrót” = przejazd powrotny); ryczałty, noclegi i inne wydatki: sekcja 5 (kwoty w walucie przeliczają się po kursie NBP).</t>
  </si>
  <si>
    <t xml:space="preserve">    Dodatkowe dane (nr polecenia, stanowisko, miejscowość wyjazdu, środki lokomocji, zaliczka) – sekcja 1 Kalkulatora; miejscowości – kolumna H etapów.</t>
  </si>
  <si>
    <t>Zasady obliczeń (rozporządzenie MPiPS z 29.01.2013, t.j. Dz.U. 2023 poz. 2190)</t>
  </si>
  <si>
    <t>• Czas (§12): od przekroczenia granicy w drodze za granicę do przekroczenia jej w drodze powrotnej (samolot: start–lądowanie).</t>
  </si>
  <si>
    <t>• Dieta (§13): za każdą pełną dobę 100%; niepełna doba: do 8 h – 1/3, 8–12 h – 50%, ponad 12 h – 100%. Liczona osobno dla każdego etapu.</t>
  </si>
  <si>
    <t>• Posiłki (§14): śniadanie –15%, obiad –30%, kolacja –30% diety.</t>
  </si>
  <si>
    <t>• Kurs: średni kurs NBP (tabela A) – z dnia poprzedzającego datę kursu albo z dnia daty kursu (§20); przy dniu wolnym brany jest ostatni wcześniejszy kurs.</t>
  </si>
  <si>
    <t>Aktualizacja stawek: diety – arkusz „Kraje”, procenty za posiłki – arkusz „Parametry”.</t>
  </si>
  <si>
    <t>Licencja MIT · Copyright (c) 2026 Krystian Rutkowski. Wolno używać, kopiować, zmieniać i rozpowszechniać, także komercyjnie, z zachowaniem tej informacji. Oprogramowanie dostarczane „tak jak jest”, bez żadnej gwarancji.</t>
  </si>
  <si>
    <t>Kursy średnie NBP (tabela A) – pobierane automatycznie z api.nbp.pl</t>
  </si>
  <si>
    <t>A. Kursy do przeliczenia diety</t>
  </si>
  <si>
    <t>Data kursu (z Kalkulatora)</t>
  </si>
  <si>
    <t>Szukany kurs: ostatni opublikowany do dnia</t>
  </si>
  <si>
    <t>Kurs średni (PLN za 1 jedn.)</t>
  </si>
  <si>
    <t>Data notowania</t>
  </si>
  <si>
    <t>Nr tabeli NBP</t>
  </si>
  <si>
    <t>Kurs ręczny (opcjonalnie)</t>
  </si>
  <si>
    <t>Data notowania (ręcznie)</t>
  </si>
  <si>
    <t>Nr tabeli (ręcznie)</t>
  </si>
  <si>
    <t>Źródło kursu</t>
  </si>
  <si>
    <t>Kurs z ostatniego dnia roboczego – zapytanie obejmuje 14 dni wstecz, więc weekendy i święta nie powodują błędu.</t>
  </si>
  <si>
    <t>Kursy pobierają się same po zmianie daty. Ręczne odświeżenie: Ctrl+Alt+F9.</t>
  </si>
  <si>
    <t>Kurs ręczny (F–H) wpisz tylko wtedy, gdy kurs nie pobiera się automatycznie (np. sieć firmowa blokuje api.nbp.pl).</t>
  </si>
  <si>
    <t>Kurs średni, datę i nr tabeli A znajdziesz na nbp.pl/statystyka-i-sprawozdawczosc/kursy/tabela-a. Wpisany kurs zastępuje kurs z NBP.</t>
  </si>
  <si>
    <t>Żeby wrócić do kursu pobieranego automatycznie, usuń kurs ręczny (kolumny F–H).</t>
  </si>
  <si>
    <t>B. Kursy NBP z podanego okresu (domyślnie pobyt za granicą – daty można nadpisać)</t>
  </si>
  <si>
    <t>Od dnia</t>
  </si>
  <si>
    <t>Maks. 93 dni w jednym zapytaniu (ograniczenie API NBP).</t>
  </si>
  <si>
    <t>Do dnia</t>
  </si>
  <si>
    <t>Państwo</t>
  </si>
  <si>
    <t>Afganistan</t>
  </si>
  <si>
    <t>Źródło: załącznik do Rozp. MPiPS z 29.01.2013, t.j. Dz.U. 2023 poz. 2190 (stawki obowiązujące od 29.11.2022).</t>
  </si>
  <si>
    <t>Albania</t>
  </si>
  <si>
    <t>Gibraltar = Wielka Brytania; Hongkong 55 USD; Tajwan 40 EUR (uwagi pod tabelą załącznika).</t>
  </si>
  <si>
    <t>Algieria</t>
  </si>
  <si>
    <t>Po zmianie rozporządzenia wystarczy poprawić kwoty w tej tabeli – kalkulator przeliczy się sam.</t>
  </si>
  <si>
    <t>Andora</t>
  </si>
  <si>
    <t>Angola</t>
  </si>
  <si>
    <t>Arabia Saudyjska</t>
  </si>
  <si>
    <t>Argentyna</t>
  </si>
  <si>
    <t>Armenia</t>
  </si>
  <si>
    <t>Australia</t>
  </si>
  <si>
    <t>Azerbejdżan</t>
  </si>
  <si>
    <t>Bangladesz</t>
  </si>
  <si>
    <t>Belgia</t>
  </si>
  <si>
    <t>Białoruś</t>
  </si>
  <si>
    <t>Bośnia i Hercegowina</t>
  </si>
  <si>
    <t>Brazylia</t>
  </si>
  <si>
    <t>Bułgaria</t>
  </si>
  <si>
    <t>Chile</t>
  </si>
  <si>
    <t>Chiny</t>
  </si>
  <si>
    <t>Chorwacja</t>
  </si>
  <si>
    <t>Cypr</t>
  </si>
  <si>
    <t>Czarnogóra</t>
  </si>
  <si>
    <t>Czechy</t>
  </si>
  <si>
    <t>Dania</t>
  </si>
  <si>
    <t>Demokratyczna Republika Konga</t>
  </si>
  <si>
    <t>Egipt</t>
  </si>
  <si>
    <t>Ekwador</t>
  </si>
  <si>
    <t>Estonia</t>
  </si>
  <si>
    <t>Etiopia</t>
  </si>
  <si>
    <t>Finlandia</t>
  </si>
  <si>
    <t>Francja</t>
  </si>
  <si>
    <t>Gibraltar</t>
  </si>
  <si>
    <t>Grecja</t>
  </si>
  <si>
    <t>Gruzja</t>
  </si>
  <si>
    <t>Hiszpania</t>
  </si>
  <si>
    <t>Holandia</t>
  </si>
  <si>
    <t>Hongkong</t>
  </si>
  <si>
    <t>Indie</t>
  </si>
  <si>
    <t>Indonezja</t>
  </si>
  <si>
    <t>Irak</t>
  </si>
  <si>
    <t>Iran</t>
  </si>
  <si>
    <t>Irlandia</t>
  </si>
  <si>
    <t>Islandia</t>
  </si>
  <si>
    <t>Izrael</t>
  </si>
  <si>
    <t>Japonia</t>
  </si>
  <si>
    <t>Jemen</t>
  </si>
  <si>
    <t>Jordania</t>
  </si>
  <si>
    <t>Kambodża</t>
  </si>
  <si>
    <t>Kanada</t>
  </si>
  <si>
    <t>Katar</t>
  </si>
  <si>
    <t>Kazachstan</t>
  </si>
  <si>
    <t>Kenia</t>
  </si>
  <si>
    <t>Kirgistan</t>
  </si>
  <si>
    <t>Kolumbia</t>
  </si>
  <si>
    <t>Kongo</t>
  </si>
  <si>
    <t>Korea Południowa</t>
  </si>
  <si>
    <t>Korea Północna</t>
  </si>
  <si>
    <t>Kostaryka</t>
  </si>
  <si>
    <t>Kuba</t>
  </si>
  <si>
    <t>Kuwejt</t>
  </si>
  <si>
    <t>Laos</t>
  </si>
  <si>
    <t>Liban</t>
  </si>
  <si>
    <t>Libia</t>
  </si>
  <si>
    <t>Liechtenstein</t>
  </si>
  <si>
    <t>Litwa</t>
  </si>
  <si>
    <t>Luksemburg</t>
  </si>
  <si>
    <t>Łotwa</t>
  </si>
  <si>
    <t>Macedonia Północna</t>
  </si>
  <si>
    <t>Malezja</t>
  </si>
  <si>
    <t>Malta</t>
  </si>
  <si>
    <t>Maroko</t>
  </si>
  <si>
    <t>Meksyk</t>
  </si>
  <si>
    <t>Mołdawia</t>
  </si>
  <si>
    <t>Monako</t>
  </si>
  <si>
    <t>Mongolia</t>
  </si>
  <si>
    <t>Nigeria</t>
  </si>
  <si>
    <t>Norwegia</t>
  </si>
  <si>
    <t>Nowa Zelandia</t>
  </si>
  <si>
    <t>Oman</t>
  </si>
  <si>
    <t>Pakistan</t>
  </si>
  <si>
    <t>Palestyna</t>
  </si>
  <si>
    <t>Panama</t>
  </si>
  <si>
    <t>Peru</t>
  </si>
  <si>
    <t>Południowa Afryka</t>
  </si>
  <si>
    <t>Portugalia</t>
  </si>
  <si>
    <t>Rosja</t>
  </si>
  <si>
    <t>Rumunia</t>
  </si>
  <si>
    <t>San Marino</t>
  </si>
  <si>
    <t>Senegal</t>
  </si>
  <si>
    <t>Serbia</t>
  </si>
  <si>
    <t>Singapur</t>
  </si>
  <si>
    <t>Słowacja</t>
  </si>
  <si>
    <t>Słowenia</t>
  </si>
  <si>
    <t>Syria</t>
  </si>
  <si>
    <t>Szwajcaria</t>
  </si>
  <si>
    <t>Szwecja</t>
  </si>
  <si>
    <t>Tadżykistan</t>
  </si>
  <si>
    <t>Tajlandia</t>
  </si>
  <si>
    <t>Tajwan</t>
  </si>
  <si>
    <t>Tanzania</t>
  </si>
  <si>
    <t>Tunezja</t>
  </si>
  <si>
    <t>Turcja</t>
  </si>
  <si>
    <t>Turkmenistan</t>
  </si>
  <si>
    <t>Ukraina</t>
  </si>
  <si>
    <t>Urugwaj</t>
  </si>
  <si>
    <t>USA</t>
  </si>
  <si>
    <t>USA – Nowy Jork</t>
  </si>
  <si>
    <t>USA – Waszyngton</t>
  </si>
  <si>
    <t>Uzbekistan</t>
  </si>
  <si>
    <t>Watykan</t>
  </si>
  <si>
    <t>Wenezuela</t>
  </si>
  <si>
    <t>Węgry</t>
  </si>
  <si>
    <t>Wielka Brytania</t>
  </si>
  <si>
    <t>Wietnam</t>
  </si>
  <si>
    <t>Włochy</t>
  </si>
  <si>
    <t>Wybrzeże Kości Słoniowej</t>
  </si>
  <si>
    <t>Zimbabwe</t>
  </si>
  <si>
    <t>Zjednoczone Emiraty Arabskie</t>
  </si>
  <si>
    <t>Państwa inne niż wymienione</t>
  </si>
  <si>
    <t>Parametry diety zagranicznej</t>
  </si>
  <si>
    <t>Potrącenie za śniadanie (% diety)</t>
  </si>
  <si>
    <t>Źródło: Rozp. MPiPS z 29.01.2013, t.j. Dz.U. 2023 poz. 2190, §14 ust. 2</t>
  </si>
  <si>
    <t>Potrącenie za obiad (% diety)</t>
  </si>
  <si>
    <t>Potrącenie za kolację (% diety)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</si>
</sst>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.mm\.yyyy"/>
    <numFmt numFmtId="165" formatCode="#,##0.0000##;\-#,##0.0000##;&quot;-&quot;"/>
    <numFmt numFmtId="166" formatCode="0.0000##"/>
    <numFmt numFmtId="169" formatCode="dd\.mm\.yyyy\ hh:mm"/>
    <numFmt numFmtId="170" formatCode="#,##0.00;\-#,##0.00;&quot;-&quot;"/>
    <numFmt numFmtId="171" formatCode="0.0000"/>
    <numFmt numFmtId="172" formatCode="#,##0.00\ &quot;zł&quot;"/>
    <numFmt numFmtId="173" formatCode="#,##0.00\ &quot;PLN&quot;"/>
  </numFmts>
  <fonts count="2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6"/>
      <color rgb="FF1F3864"/>
      <name val="Arial"/>
    </font>
    <font>
      <sz val="10"/>
      <color rgb="FF0000FF"/>
      <name val="Arial"/>
    </font>
    <font>
      <i/>
      <sz val="8"/>
      <color rgb="FF7F7F7F"/>
      <name val="Arial"/>
    </font>
    <font>
      <b/>
      <sz val="9"/>
      <color rgb="FF1F3864"/>
      <name val="Arial"/>
    </font>
    <font>
      <b/>
      <sz val="11"/>
      <color rgb="FFFFFFFF"/>
      <name val="Arial"/>
    </font>
    <font>
      <sz val="10"/>
      <color rgb="FF008000"/>
      <name val="Arial"/>
    </font>
    <font>
      <i/>
      <sz val="9"/>
      <color rgb="FF595959"/>
      <name val="Arial"/>
    </font>
    <font>
      <b/>
      <sz val="10"/>
      <name val="Arial"/>
    </font>
    <font>
      <b/>
      <sz val="11"/>
      <name val="Arial"/>
    </font>
    <font>
      <b/>
      <sz val="9"/>
      <color rgb="FFFFFFFF"/>
      <name val="Arial"/>
    </font>
    <font>
      <b/>
      <sz val="15"/>
      <color rgb="FF1F3864"/>
      <name val="Arial"/>
    </font>
    <font>
      <sz val="8"/>
      <color rgb="FF0000FF"/>
      <name val="Arial"/>
    </font>
    <font>
      <sz val="8"/>
      <color rgb="FF000000"/>
      <name val="Arial"/>
    </font>
    <font>
      <sz val="8"/>
      <color rgb="FF9C0006"/>
      <name val="Arial"/>
    </font>
    <font>
      <b/>
      <sz val="14"/>
      <name val="Arial"/>
    </font>
    <font>
      <b/>
      <sz val="10"/>
      <color rgb="FFC00000"/>
      <name val="Arial"/>
    </font>
    <font>
      <b/>
      <sz val="8"/>
      <name val="Arial"/>
    </font>
    <font>
      <sz val="9"/>
      <name val="Arial"/>
    </font>
    <font>
      <b/>
      <sz val="9"/>
      <name val="Arial"/>
    </font>
    <font>
      <b/>
      <sz val="9"/>
      <color rgb="FFC00000"/>
      <name val="Arial"/>
    </font>
    <font>
      <sz val="7"/>
      <name val="Arial"/>
    </font>
    <font>
      <b/>
      <sz val="15"/>
      <name val="Arial"/>
    </font>
    <font>
      <sz val="8"/>
      <name val="Arial"/>
    </font>
    <font>
      <b/>
      <sz val="13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FFFFF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FFFF"/>
      </left>
      <right/>
      <top/>
      <bottom/>
      <diagonal/>
    </border>
    <border>
      <left style="medium">
        <color rgb="FFED7D31"/>
      </left>
      <right style="thin">
        <color rgb="FFBFBFBF"/>
      </right>
      <top style="medium">
        <color rgb="FFED7D31"/>
      </top>
      <bottom style="medium">
        <color rgb="FFED7D31"/>
      </bottom>
      <diagonal/>
    </border>
    <border>
      <left/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 style="medium">
        <color rgb="FFED7D31"/>
      </left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2" fillId="0" borderId="0" xfId="0" applyFont="1"/>
    <xf numFmtId="0" fontId="9" fillId="0" borderId="0" xfId="0" applyFont="1" applyAlignment="1">
      <alignment horizontal="right" vertical="center"/>
    </xf>
    <xf numFmtId="0" fontId="8" fillId="0" borderId="0" xfId="0" applyFont="1"/>
    <xf numFmtId="0" fontId="8" fillId="0" borderId="0" xfId="0" applyFont="1" applyAlignment="1">
      <alignment horizontal="right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6" fillId="4" borderId="0" xfId="0" applyFont="1" applyFill="1"/>
    <xf numFmtId="0" fontId="6" fillId="4" borderId="2" xfId="0" applyFont="1" applyFill="1" applyBorder="1"/>
    <xf numFmtId="0" fontId="6" fillId="5" borderId="0" xfId="0" applyFont="1" applyFill="1"/>
    <xf numFmtId="0" fontId="6" fillId="5" borderId="2" xfId="0" applyFont="1" applyFill="1" applyBorder="1"/>
    <xf numFmtId="0" fontId="6" fillId="6" borderId="0" xfId="0" applyFont="1" applyFill="1"/>
    <xf numFmtId="0" fontId="6" fillId="6" borderId="2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2" borderId="8" xfId="0" applyFont="1" applyFill="1" applyBorder="1" applyAlignment="1" applyProtection="1">
      <alignment horizontal="center"/>
      <protection locked="0"/>
    </xf>
    <xf numFmtId="169" fontId="3" fillId="2" borderId="8" xfId="0" applyNumberFormat="1" applyFont="1" applyFill="1" applyBorder="1" applyAlignment="1" applyProtection="1">
      <alignment horizontal="center"/>
      <protection locked="0"/>
    </xf>
    <xf numFmtId="1" fontId="3" fillId="2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169" fontId="3" fillId="2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Protection="1">
      <protection locked="0"/>
    </xf>
    <xf numFmtId="170" fontId="3" fillId="2" borderId="1" xfId="0" applyNumberFormat="1" applyFont="1" applyFill="1" applyBorder="1" applyProtection="1">
      <protection locked="0"/>
    </xf>
    <xf numFmtId="170" fontId="1" fillId="0" borderId="1" xfId="0" applyNumberFormat="1" applyFont="1" applyBorder="1"/>
    <xf numFmtId="0" fontId="9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169" fontId="1" fillId="0" borderId="1" xfId="0" applyNumberFormat="1" applyFont="1" applyBorder="1"/>
    <xf numFmtId="2" fontId="1" fillId="0" borderId="1" xfId="0" applyNumberFormat="1" applyFont="1" applyBorder="1"/>
    <xf numFmtId="171" fontId="1" fillId="0" borderId="1" xfId="0" applyNumberFormat="1" applyFont="1" applyBorder="1"/>
    <xf numFmtId="170" fontId="9" fillId="0" borderId="1" xfId="0" applyNumberFormat="1" applyFont="1" applyBorder="1"/>
    <xf numFmtId="166" fontId="1" fillId="0" borderId="1" xfId="0" applyNumberFormat="1" applyFont="1" applyBorder="1"/>
    <xf numFmtId="0" fontId="10" fillId="8" borderId="1" xfId="0" applyFont="1" applyFill="1" applyBorder="1"/>
    <xf numFmtId="170" fontId="10" fillId="8" borderId="1" xfId="0" applyNumberFormat="1" applyFont="1" applyFill="1" applyBorder="1"/>
    <xf numFmtId="0" fontId="4" fillId="0" borderId="0" xfId="0" applyFont="1" applyAlignme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/>
    </xf>
    <xf numFmtId="169" fontId="19" fillId="0" borderId="9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" fontId="19" fillId="0" borderId="9" xfId="0" applyNumberFormat="1" applyFont="1" applyBorder="1" applyAlignment="1">
      <alignment horizontal="center" vertical="center"/>
    </xf>
    <xf numFmtId="171" fontId="19" fillId="0" borderId="9" xfId="0" applyNumberFormat="1" applyFont="1" applyBorder="1" applyAlignment="1">
      <alignment horizontal="center" vertical="center"/>
    </xf>
    <xf numFmtId="4" fontId="20" fillId="0" borderId="9" xfId="0" applyNumberFormat="1" applyFont="1" applyBorder="1" applyAlignment="1">
      <alignment horizontal="center" vertic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17" xfId="0" applyFont="1" applyBorder="1" applyAlignment="1">
      <alignment horizontal="center"/>
    </xf>
    <xf numFmtId="0" fontId="22" fillId="0" borderId="20" xfId="0" applyFont="1" applyBorder="1" applyAlignment="1">
      <alignment horizontal="center" vertical="top"/>
    </xf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0" xfId="0" applyFont="1" applyAlignment="1">
      <alignment horizontal="center"/>
    </xf>
    <xf numFmtId="0" fontId="22" fillId="0" borderId="0" xfId="0" applyFont="1" applyAlignment="1">
      <alignment horizontal="center" vertical="top"/>
    </xf>
    <xf numFmtId="0" fontId="24" fillId="0" borderId="24" xfId="0" applyFont="1" applyBorder="1" applyAlignment="1">
      <alignment horizontal="center" vertical="center"/>
    </xf>
    <xf numFmtId="0" fontId="1" fillId="0" borderId="24" xfId="0" applyFont="1" applyBorder="1"/>
    <xf numFmtId="0" fontId="24" fillId="0" borderId="0" xfId="0" applyFont="1" applyAlignment="1">
      <alignment horizontal="right" vertical="center"/>
    </xf>
    <xf numFmtId="0" fontId="24" fillId="0" borderId="24" xfId="0" applyFont="1" applyBorder="1" applyAlignment="1">
      <alignment horizontal="center" vertical="center" shrinkToFit="1"/>
    </xf>
    <xf numFmtId="164" fontId="24" fillId="0" borderId="24" xfId="0" applyNumberFormat="1" applyFont="1" applyBorder="1" applyAlignment="1">
      <alignment horizontal="center" vertical="center" shrinkToFit="1"/>
    </xf>
    <xf numFmtId="20" fontId="24" fillId="0" borderId="24" xfId="0" applyNumberFormat="1" applyFont="1" applyBorder="1" applyAlignment="1">
      <alignment horizontal="center" vertical="center" shrinkToFit="1"/>
    </xf>
    <xf numFmtId="170" fontId="24" fillId="0" borderId="24" xfId="0" applyNumberFormat="1" applyFont="1" applyBorder="1" applyAlignment="1">
      <alignment horizontal="center" vertical="center" shrinkToFit="1"/>
    </xf>
    <xf numFmtId="170" fontId="24" fillId="0" borderId="24" xfId="0" applyNumberFormat="1" applyFont="1" applyBorder="1"/>
    <xf numFmtId="170" fontId="18" fillId="0" borderId="24" xfId="0" applyNumberFormat="1" applyFont="1" applyBorder="1"/>
    <xf numFmtId="170" fontId="9" fillId="0" borderId="25" xfId="0" applyNumberFormat="1" applyFont="1" applyBorder="1" applyAlignment="1">
      <alignment horizontal="right" vertical="top"/>
    </xf>
    <xf numFmtId="0" fontId="24" fillId="0" borderId="25" xfId="0" applyFont="1" applyBorder="1" applyAlignment="1">
      <alignment horizontal="left" vertical="top"/>
    </xf>
    <xf numFmtId="170" fontId="19" fillId="0" borderId="24" xfId="0" applyNumberFormat="1" applyFont="1" applyBorder="1"/>
    <xf numFmtId="0" fontId="22" fillId="0" borderId="27" xfId="0" applyFont="1" applyBorder="1" applyAlignment="1">
      <alignment horizontal="center"/>
    </xf>
    <xf numFmtId="170" fontId="20" fillId="0" borderId="24" xfId="0" applyNumberFormat="1" applyFont="1" applyBorder="1"/>
    <xf numFmtId="0" fontId="9" fillId="0" borderId="0" xfId="0" applyFont="1"/>
    <xf numFmtId="164" fontId="7" fillId="0" borderId="1" xfId="0" applyNumberFormat="1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65" fontId="3" fillId="2" borderId="1" xfId="0" applyNumberFormat="1" applyFont="1" applyFill="1" applyBorder="1" applyProtection="1">
      <protection locked="0"/>
    </xf>
    <xf numFmtId="164" fontId="3" fillId="2" borderId="1" xfId="0" applyNumberFormat="1" applyFont="1" applyFill="1" applyBorder="1" applyProtection="1">
      <protection locked="0"/>
    </xf>
    <xf numFmtId="49" fontId="3" fillId="2" borderId="1" xfId="0" applyNumberFormat="1" applyFont="1" applyFill="1" applyBorder="1" applyProtection="1">
      <protection locked="0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/>
    <xf numFmtId="3" fontId="3" fillId="2" borderId="1" xfId="0" applyNumberFormat="1" applyFont="1" applyFill="1" applyBorder="1" applyProtection="1">
      <protection locked="0"/>
    </xf>
    <xf numFmtId="0" fontId="0" fillId="0" borderId="1" xfId="0" applyBorder="1"/>
    <xf numFmtId="9" fontId="3" fillId="2" borderId="1" xfId="0" applyNumberFormat="1" applyFont="1" applyFill="1" applyBorder="1" applyProtection="1">
      <protection locked="0"/>
    </xf>
    <xf numFmtId="0" fontId="1" fillId="0" borderId="0" xfId="0" applyFont="1"/>
    <xf numFmtId="0" fontId="0" fillId="0" borderId="0" xfId="0"/>
    <xf numFmtId="0" fontId="3" fillId="2" borderId="1" xfId="0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72" fontId="12" fillId="8" borderId="5" xfId="0" applyNumberFormat="1" applyFont="1" applyFill="1" applyBorder="1" applyAlignment="1">
      <alignment horizontal="center" vertical="center"/>
    </xf>
    <xf numFmtId="172" fontId="12" fillId="8" borderId="0" xfId="0" applyNumberFormat="1" applyFont="1" applyFill="1" applyAlignment="1">
      <alignment horizontal="center" vertical="center"/>
    </xf>
    <xf numFmtId="170" fontId="3" fillId="2" borderId="1" xfId="0" applyNumberFormat="1" applyFont="1" applyFill="1" applyBorder="1" applyAlignment="1" applyProtection="1">
      <alignment horizontal="left"/>
      <protection locked="0"/>
    </xf>
    <xf numFmtId="169" fontId="3" fillId="2" borderId="1" xfId="0" applyNumberFormat="1" applyFont="1" applyFill="1" applyBorder="1" applyAlignment="1" applyProtection="1">
      <alignment horizontal="left"/>
      <protection locked="0"/>
    </xf>
    <xf numFmtId="0" fontId="11" fillId="4" borderId="5" xfId="0" applyFont="1" applyFill="1" applyBorder="1" applyAlignment="1">
      <alignment horizontal="center" vertical="center" shrinkToFit="1"/>
    </xf>
    <xf numFmtId="0" fontId="11" fillId="4" borderId="0" xfId="0" applyFont="1" applyFill="1" applyAlignment="1">
      <alignment horizontal="center" vertical="center" shrinkToFit="1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0" fontId="9" fillId="0" borderId="0" xfId="0" applyFont="1" applyAlignment="1">
      <alignment vertical="center"/>
    </xf>
    <xf numFmtId="164" fontId="3" fillId="2" borderId="6" xfId="0" applyNumberFormat="1" applyFont="1" applyFill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4" fillId="7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9" fillId="0" borderId="9" xfId="0" applyFont="1" applyBorder="1"/>
    <xf numFmtId="0" fontId="0" fillId="0" borderId="9" xfId="0" applyBorder="1"/>
    <xf numFmtId="0" fontId="9" fillId="7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173" fontId="10" fillId="0" borderId="9" xfId="0" applyNumberFormat="1" applyFont="1" applyBorder="1" applyAlignment="1">
      <alignment horizontal="right" vertical="center"/>
    </xf>
    <xf numFmtId="0" fontId="17" fillId="0" borderId="0" xfId="0" applyFont="1"/>
    <xf numFmtId="0" fontId="8" fillId="0" borderId="0" xfId="0" applyFont="1"/>
    <xf numFmtId="0" fontId="16" fillId="0" borderId="0" xfId="0" applyFont="1"/>
    <xf numFmtId="169" fontId="1" fillId="0" borderId="9" xfId="0" applyNumberFormat="1" applyFont="1" applyBorder="1" applyAlignment="1">
      <alignment horizontal="right" vertical="center"/>
    </xf>
    <xf numFmtId="0" fontId="10" fillId="0" borderId="9" xfId="0" applyFont="1" applyBorder="1"/>
    <xf numFmtId="0" fontId="4" fillId="0" borderId="0" xfId="0" applyFont="1"/>
    <xf numFmtId="0" fontId="1" fillId="0" borderId="0" xfId="0" applyFont="1" applyAlignment="1">
      <alignment horizontal="center"/>
    </xf>
    <xf numFmtId="0" fontId="22" fillId="0" borderId="20" xfId="0" applyFont="1" applyBorder="1" applyAlignment="1">
      <alignment horizontal="center" vertical="top"/>
    </xf>
    <xf numFmtId="0" fontId="0" fillId="0" borderId="21" xfId="0" applyBorder="1"/>
    <xf numFmtId="0" fontId="0" fillId="0" borderId="22" xfId="0" applyBorder="1"/>
    <xf numFmtId="0" fontId="24" fillId="0" borderId="24" xfId="0" applyFont="1" applyBorder="1" applyAlignment="1">
      <alignment horizontal="center" vertical="center"/>
    </xf>
    <xf numFmtId="0" fontId="0" fillId="0" borderId="24" xfId="0" applyBorder="1"/>
    <xf numFmtId="0" fontId="1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top"/>
    </xf>
    <xf numFmtId="0" fontId="23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4" fillId="0" borderId="17" xfId="0" applyFont="1" applyBorder="1" applyAlignment="1">
      <alignment horizontal="left" vertical="center"/>
    </xf>
    <xf numFmtId="0" fontId="0" fillId="0" borderId="18" xfId="0" applyBorder="1"/>
    <xf numFmtId="0" fontId="0" fillId="0" borderId="19" xfId="0" applyBorder="1"/>
    <xf numFmtId="0" fontId="24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0" fillId="0" borderId="13" xfId="0" applyBorder="1"/>
    <xf numFmtId="0" fontId="2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2" fillId="0" borderId="21" xfId="0" applyFont="1" applyBorder="1" applyAlignment="1">
      <alignment horizontal="center" vertical="top"/>
    </xf>
    <xf numFmtId="0" fontId="24" fillId="0" borderId="14" xfId="0" applyFont="1" applyBorder="1" applyAlignment="1">
      <alignment horizontal="center" vertical="center"/>
    </xf>
    <xf numFmtId="0" fontId="0" fillId="0" borderId="20" xfId="0" applyBorder="1"/>
    <xf numFmtId="0" fontId="24" fillId="0" borderId="1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top" wrapText="1"/>
    </xf>
    <xf numFmtId="0" fontId="23" fillId="0" borderId="17" xfId="0" applyFont="1" applyBorder="1" applyAlignment="1">
      <alignment horizontal="center" vertical="center"/>
    </xf>
    <xf numFmtId="0" fontId="0" fillId="0" borderId="12" xfId="0" applyBorder="1"/>
    <xf numFmtId="0" fontId="25" fillId="0" borderId="0" xfId="0" applyFont="1" applyAlignment="1">
      <alignment horizontal="center" vertical="center"/>
    </xf>
    <xf numFmtId="0" fontId="24" fillId="0" borderId="14" xfId="0" applyFont="1" applyBorder="1" applyAlignment="1">
      <alignment horizontal="left" vertical="top"/>
    </xf>
    <xf numFmtId="0" fontId="21" fillId="0" borderId="0" xfId="0" applyFont="1" applyAlignment="1">
      <alignment horizontal="left" vertical="center"/>
    </xf>
    <xf numFmtId="0" fontId="24" fillId="0" borderId="18" xfId="0" applyFont="1" applyBorder="1" applyAlignment="1">
      <alignment horizontal="center"/>
    </xf>
    <xf numFmtId="0" fontId="22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center"/>
    </xf>
    <xf numFmtId="0" fontId="20" fillId="0" borderId="14" xfId="0" applyFont="1" applyBorder="1" applyAlignment="1">
      <alignment horizontal="right" vertical="center"/>
    </xf>
    <xf numFmtId="0" fontId="1" fillId="0" borderId="26" xfId="0" applyFont="1" applyBorder="1" applyAlignment="1">
      <alignment horizontal="center" vertical="top" wrapText="1"/>
    </xf>
    <xf numFmtId="0" fontId="0" fillId="0" borderId="26" xfId="0" applyBorder="1"/>
    <xf numFmtId="0" fontId="0" fillId="0" borderId="27" xfId="0" applyBorder="1"/>
    <xf numFmtId="0" fontId="22" fillId="0" borderId="17" xfId="0" applyFont="1" applyBorder="1" applyAlignment="1">
      <alignment horizontal="center" vertical="top"/>
    </xf>
    <xf numFmtId="0" fontId="24" fillId="0" borderId="17" xfId="0" applyFont="1" applyBorder="1" applyAlignment="1">
      <alignment horizontal="left" vertical="top"/>
    </xf>
    <xf numFmtId="0" fontId="0" fillId="0" borderId="17" xfId="0" applyBorder="1"/>
    <xf numFmtId="0" fontId="1" fillId="0" borderId="17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top"/>
    </xf>
    <xf numFmtId="0" fontId="1" fillId="0" borderId="1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18" xfId="0" applyFont="1" applyBorder="1" applyAlignment="1">
      <alignment horizontal="center"/>
    </xf>
  </cellXfs>
  <cellStyles count="1">
    <cellStyle name="Normalny" xfId="0" builtinId="0"/>
  </cellStyles>
  <dxfs count="27">
    <dxf>
      <font>
        <b/>
        <color rgb="FFC65911"/>
        <name val="Arial"/>
      </font>
    </dxf>
    <dxf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color rgb="FFBFBFBF"/>
        <name val="Arial"/>
      </font>
      <fill>
        <patternFill patternType="solid">
          <fgColor rgb="FFF2F2F2"/>
          <bgColor rgb="FFF2F2F2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</border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color rgb="FFBFBFBF"/>
        <name val="Arial"/>
      </font>
    </dxf>
    <dxf>
      <font>
        <color rgb="FFBFBFBF"/>
        <name val="Arial"/>
      </font>
      <fill>
        <patternFill patternType="solid">
          <fgColor rgb="FFF2F2F2"/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20"/>
  <sheetViews>
    <sheetView showGridLines="0" tabSelected="1" workbookViewId="0">
      <pane ySplit="3" topLeftCell="A4" activePane="bottomLeft" state="frozen"/>
      <selection pane="bottomLeft" activeCell="C5" sqref="C5:G5"/>
    </sheetView>
  </sheetViews>
  <sheetFormatPr defaultRowHeight="14.5" x14ac:dyDescent="0.35"/>
  <cols>
    <col min="1" max="1" width="2" customWidth="1"/>
    <col min="2" max="2" width="31.6328125" customWidth="1"/>
    <col min="3" max="3" width="22" customWidth="1"/>
    <col min="4" max="4" width="19" customWidth="1"/>
    <col min="5" max="5" width="13" customWidth="1"/>
    <col min="6" max="7" width="16.453125" customWidth="1"/>
    <col min="8" max="8" width="13" customWidth="1"/>
    <col min="9" max="10" width="16.453125" customWidth="1"/>
    <col min="11" max="14" width="13" customWidth="1"/>
  </cols>
  <sheetData>
    <row r="1" spans="1:22" ht="18" customHeight="1" x14ac:dyDescent="0.4">
      <c r="A1" s="1"/>
      <c r="B1" s="2" t="s">
        <v>0</v>
      </c>
      <c r="C1" s="1"/>
      <c r="D1" s="3" t="s">
        <v>1</v>
      </c>
      <c r="E1" s="97" t="str" cm="1">
        <f t="array" ref="E1">IF(C15="","Wybierz kraj w etapie 1",IF(SUMPRODUCT((C16:C19&lt;&gt;"")*(C15:C18=""))&gt;0,"Nie zostawiaj pustego etapu między krajami",IF(SUMPRODUCT(--ISTEXT(D15:D20))+SUMPRODUCT(--ISTEXT(I15:J19))+ISTEXT(K5)+ISTEXT(K6)+ISTEXT(K7)+ISTEXT(C9)&gt;0,"Niepoprawna data (wpisz np. 14.09.2026 10:30) – zobacz czerwone pole",IF(SUMPRODUCT((C15:C19&lt;&gt;"")*(D15:D19=""))&gt;0,"Uzupełnij datę wjazdu w każdym etapie",IF(SUMPRODUCT((C16:C19&lt;&gt;"")*(D16:D19&lt;=D15:D18))&gt;0,"Etapy muszą być w kolejności chronologicznej",IF(D20="","Uzupełnij datę powrotu przez granicę",IF(D20&lt;=MAX(D15:D19),"Powrót przez granicę musi być po ostatnim wjeździe",IF(SUM((E15:G19&gt;IFERROR(ROUNDUP(I24:I28,0),1000000000))*1)&gt;0,"Więcej posiłków niż dni pobytu w kraju – sprawdź śniadania, obiady i kolacje",IF(K7="","Uzupełnij datę kursu",IF(SUMPRODUCT(('Kursy NBP'!$F$8:$F$17&lt;&gt;"")*((('Kursy NBP'!$G$8:$G$17="")+('Kursy NBP'!$H$8:$H$17=""))&gt;0))&gt;0,"Kurs ręczny: uzupełnij datę notowania i nr tabeli (arkusz Kursy NBP)",IF(COUNTIF(M24:M28,"brak kursu")&gt;0,"Brak kursu NBP – sprawdź datę kursu i internet albo wpisz kurs ręcznie (arkusz Kursy NBP)","OK")))))))))))</f>
        <v>OK</v>
      </c>
      <c r="F1" s="86"/>
      <c r="G1" s="86"/>
      <c r="H1" s="86"/>
      <c r="I1" s="93" t="str" cm="1">
        <f t="array" ref="I1">"Do wypłaty – dieta"&amp;IF($E$1&lt;&gt;"OK","",IFERROR(" ("&amp;_xlfn.TEXTJOIN(" + ",TRUE,_xlfn._xlws.FILTER(FIXED(C33:C42,2)&amp;" "&amp;B33:B42,C33:C42&lt;&gt;0))&amp;")",""))</f>
        <v>Do wypłaty – dieta (215,53 EUR)</v>
      </c>
      <c r="J1" s="94"/>
      <c r="K1" s="93" t="str">
        <f>"Wydatki (z zaliczki na wydatki)"</f>
        <v>Wydatki (z zaliczki na wydatki)</v>
      </c>
      <c r="L1" s="94"/>
      <c r="M1" s="93" t="str">
        <f>"Ogółem do rozliczenia"</f>
        <v>Ogółem do rozliczenia</v>
      </c>
      <c r="N1" s="94"/>
      <c r="O1" s="1"/>
      <c r="P1" s="1"/>
      <c r="Q1" s="1"/>
      <c r="R1" s="1"/>
      <c r="S1" s="1"/>
      <c r="T1" s="1"/>
      <c r="U1" s="1"/>
      <c r="V1" s="1"/>
    </row>
    <row r="2" spans="1:22" ht="30" customHeight="1" x14ac:dyDescent="0.35">
      <c r="A2" s="1"/>
      <c r="B2" s="4" t="s">
        <v>2</v>
      </c>
      <c r="C2" s="1"/>
      <c r="D2" s="1"/>
      <c r="E2" s="1"/>
      <c r="F2" s="1"/>
      <c r="G2" s="1"/>
      <c r="H2" s="1"/>
      <c r="I2" s="89">
        <f>IF($E$1&lt;&gt;"OK","—",M29)</f>
        <v>930.46</v>
      </c>
      <c r="J2" s="90"/>
      <c r="K2" s="89">
        <f>IF($E$1&lt;&gt;"OK","—",F51-M29)</f>
        <v>1640.5</v>
      </c>
      <c r="L2" s="90"/>
      <c r="M2" s="89">
        <f>IF($E$1&lt;&gt;"OK","—",F51)</f>
        <v>2570.96</v>
      </c>
      <c r="N2" s="90"/>
      <c r="O2" s="1"/>
      <c r="P2" s="1"/>
      <c r="Q2" s="1"/>
      <c r="R2" s="1"/>
      <c r="S2" s="1"/>
      <c r="T2" s="1"/>
      <c r="U2" s="1"/>
      <c r="V2" s="1"/>
    </row>
    <row r="3" spans="1:22" ht="16" customHeight="1" x14ac:dyDescent="0.35">
      <c r="A3" s="1"/>
      <c r="B3" s="5" t="s">
        <v>3</v>
      </c>
      <c r="C3" s="6" t="s">
        <v>4</v>
      </c>
      <c r="D3" s="7" t="s">
        <v>5</v>
      </c>
      <c r="E3" s="8" t="s">
        <v>6</v>
      </c>
      <c r="F3" s="9" t="s">
        <v>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0" customHeight="1" x14ac:dyDescent="0.35">
      <c r="A4" s="1"/>
      <c r="B4" s="10" t="s">
        <v>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"/>
      <c r="P4" s="1"/>
      <c r="Q4" s="1"/>
      <c r="R4" s="1"/>
      <c r="S4" s="1"/>
      <c r="T4" s="1"/>
      <c r="U4" s="1"/>
      <c r="V4" s="1"/>
    </row>
    <row r="5" spans="1:22" x14ac:dyDescent="0.35">
      <c r="A5" s="1"/>
      <c r="B5" s="1" t="s">
        <v>9</v>
      </c>
      <c r="C5" s="87" t="s">
        <v>10</v>
      </c>
      <c r="D5" s="88"/>
      <c r="E5" s="88"/>
      <c r="F5" s="88"/>
      <c r="G5" s="88"/>
      <c r="H5" s="1"/>
      <c r="I5" s="85" t="s">
        <v>11</v>
      </c>
      <c r="J5" s="86"/>
      <c r="K5" s="92">
        <v>46279.229166666657</v>
      </c>
      <c r="L5" s="88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 s="1"/>
      <c r="B6" s="1" t="s">
        <v>12</v>
      </c>
      <c r="C6" s="87" t="s">
        <v>13</v>
      </c>
      <c r="D6" s="88"/>
      <c r="E6" s="88"/>
      <c r="F6" s="88"/>
      <c r="G6" s="88"/>
      <c r="H6" s="1"/>
      <c r="I6" s="85" t="s">
        <v>14</v>
      </c>
      <c r="J6" s="86"/>
      <c r="K6" s="92">
        <v>46283.916666666657</v>
      </c>
      <c r="L6" s="88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s="1"/>
      <c r="B7" s="1" t="s">
        <v>15</v>
      </c>
      <c r="C7" s="87" t="s">
        <v>16</v>
      </c>
      <c r="D7" s="88"/>
      <c r="E7" s="88"/>
      <c r="F7" s="88"/>
      <c r="G7" s="88"/>
      <c r="H7" s="1"/>
      <c r="I7" s="85" t="s">
        <v>17</v>
      </c>
      <c r="J7" s="86"/>
      <c r="K7" s="98">
        <v>46275</v>
      </c>
      <c r="L7" s="99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1"/>
      <c r="B8" s="1" t="s">
        <v>18</v>
      </c>
      <c r="C8" s="87" t="s">
        <v>19</v>
      </c>
      <c r="D8" s="88"/>
      <c r="E8" s="88"/>
      <c r="F8" s="88"/>
      <c r="G8" s="88"/>
      <c r="H8" s="1"/>
      <c r="I8" s="85" t="s">
        <v>20</v>
      </c>
      <c r="J8" s="86"/>
      <c r="K8" s="87" t="s">
        <v>21</v>
      </c>
      <c r="L8" s="88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 s="1"/>
      <c r="B9" s="1" t="s">
        <v>22</v>
      </c>
      <c r="C9" s="96">
        <v>46275</v>
      </c>
      <c r="D9" s="88"/>
      <c r="E9" s="88"/>
      <c r="F9" s="88"/>
      <c r="G9" s="88"/>
      <c r="H9" s="1"/>
      <c r="I9" s="85" t="s">
        <v>23</v>
      </c>
      <c r="J9" s="86"/>
      <c r="K9" s="91"/>
      <c r="L9" s="88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 s="1"/>
      <c r="B10" s="1" t="s">
        <v>24</v>
      </c>
      <c r="C10" s="87" t="s">
        <v>25</v>
      </c>
      <c r="D10" s="88"/>
      <c r="E10" s="88"/>
      <c r="F10" s="88"/>
      <c r="G10" s="88"/>
      <c r="H10" s="1"/>
      <c r="I10" s="85" t="s">
        <v>26</v>
      </c>
      <c r="J10" s="86"/>
      <c r="K10" s="95"/>
      <c r="L10" s="88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 s="1"/>
      <c r="B11" s="1" t="s">
        <v>27</v>
      </c>
      <c r="C11" s="87" t="s">
        <v>28</v>
      </c>
      <c r="D11" s="88"/>
      <c r="E11" s="88"/>
      <c r="F11" s="88"/>
      <c r="G11" s="88"/>
      <c r="H11" s="1"/>
      <c r="I11" s="85" t="s">
        <v>29</v>
      </c>
      <c r="J11" s="86"/>
      <c r="K11" s="95"/>
      <c r="L11" s="88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0" customHeight="1" x14ac:dyDescent="0.35">
      <c r="A13" s="1"/>
      <c r="B13" s="10" t="s">
        <v>30</v>
      </c>
      <c r="C13" s="10"/>
      <c r="D13" s="10"/>
      <c r="E13" s="10"/>
      <c r="F13" s="10"/>
      <c r="G13" s="11"/>
      <c r="H13" s="12" t="s">
        <v>31</v>
      </c>
      <c r="I13" s="12"/>
      <c r="J13" s="13"/>
      <c r="K13" s="14" t="s">
        <v>32</v>
      </c>
      <c r="L13" s="14"/>
      <c r="M13" s="14"/>
      <c r="N13" s="15"/>
      <c r="O13" s="1"/>
      <c r="P13" s="1"/>
      <c r="Q13" s="1"/>
      <c r="R13" s="1"/>
      <c r="S13" s="1"/>
      <c r="T13" s="1"/>
      <c r="U13" s="1"/>
      <c r="V13" s="1"/>
    </row>
    <row r="14" spans="1:22" ht="32" customHeight="1" x14ac:dyDescent="0.35">
      <c r="A14" s="1"/>
      <c r="B14" s="16" t="s">
        <v>33</v>
      </c>
      <c r="C14" s="16" t="s">
        <v>34</v>
      </c>
      <c r="D14" s="16" t="s">
        <v>35</v>
      </c>
      <c r="E14" s="16" t="s">
        <v>36</v>
      </c>
      <c r="F14" s="16" t="s">
        <v>37</v>
      </c>
      <c r="G14" s="16" t="s">
        <v>38</v>
      </c>
      <c r="H14" s="16" t="s">
        <v>39</v>
      </c>
      <c r="I14" s="16" t="s">
        <v>40</v>
      </c>
      <c r="J14" s="16" t="s">
        <v>41</v>
      </c>
      <c r="K14" s="16" t="s">
        <v>42</v>
      </c>
      <c r="L14" s="16" t="s">
        <v>43</v>
      </c>
      <c r="M14" s="16" t="s">
        <v>44</v>
      </c>
      <c r="N14" s="16" t="s">
        <v>45</v>
      </c>
      <c r="O14" s="1"/>
      <c r="P14" s="1"/>
      <c r="Q14" s="1"/>
      <c r="R14" s="1"/>
      <c r="S14" s="1"/>
      <c r="T14" s="1"/>
      <c r="U14" s="1"/>
      <c r="V14" s="1"/>
    </row>
    <row r="15" spans="1:22" x14ac:dyDescent="0.35">
      <c r="A15" s="1"/>
      <c r="B15" s="17" t="s">
        <v>46</v>
      </c>
      <c r="C15" s="18" t="s">
        <v>47</v>
      </c>
      <c r="D15" s="19">
        <v>46279.4375</v>
      </c>
      <c r="E15" s="20">
        <v>2</v>
      </c>
      <c r="F15" s="20">
        <v>0</v>
      </c>
      <c r="G15" s="20">
        <v>0</v>
      </c>
      <c r="H15" s="21" t="s">
        <v>48</v>
      </c>
      <c r="I15" s="22">
        <v>46279.510416666657</v>
      </c>
      <c r="J15" s="22">
        <v>46281.375</v>
      </c>
      <c r="K15" s="23"/>
      <c r="L15" s="24"/>
      <c r="M15" s="21" t="s">
        <v>49</v>
      </c>
      <c r="N15" s="25" t="str">
        <f>IF(N(L15)=0,"",IF(OR(M15="",M15="PLN"),L15,IFERROR(ROUND(L15*_xlfn.XLOOKUP(M15,'Kursy NBP'!$B$8:$B$17,'Kursy NBP'!$C$8:$C$17),2),"brak kursu")))</f>
        <v/>
      </c>
      <c r="O15" s="1"/>
      <c r="P15" s="1"/>
      <c r="Q15" s="1"/>
      <c r="R15" s="1"/>
      <c r="S15" s="1"/>
      <c r="T15" s="1"/>
      <c r="U15" s="1"/>
      <c r="V15" s="1"/>
    </row>
    <row r="16" spans="1:22" x14ac:dyDescent="0.35">
      <c r="A16" s="1"/>
      <c r="B16" s="17" t="s">
        <v>50</v>
      </c>
      <c r="C16" s="21" t="s">
        <v>51</v>
      </c>
      <c r="D16" s="22">
        <v>46281.583333333343</v>
      </c>
      <c r="E16" s="20">
        <v>2</v>
      </c>
      <c r="F16" s="20">
        <v>0</v>
      </c>
      <c r="G16" s="20">
        <v>0</v>
      </c>
      <c r="H16" s="21" t="s">
        <v>52</v>
      </c>
      <c r="I16" s="22">
        <v>46281.645833333343</v>
      </c>
      <c r="J16" s="22">
        <v>46283.583333333343</v>
      </c>
      <c r="K16" s="23"/>
      <c r="L16" s="24"/>
      <c r="M16" s="21" t="s">
        <v>49</v>
      </c>
      <c r="N16" s="25" t="str">
        <f>IF(N(L16)=0,"",IF(OR(M16="",M16="PLN"),L16,IFERROR(ROUND(L16*_xlfn.XLOOKUP(M16,'Kursy NBP'!$B$8:$B$17,'Kursy NBP'!$C$8:$C$17),2),"brak kursu")))</f>
        <v/>
      </c>
      <c r="O16" s="1"/>
      <c r="P16" s="1"/>
      <c r="Q16" s="1"/>
      <c r="R16" s="1"/>
      <c r="S16" s="1"/>
      <c r="T16" s="1"/>
      <c r="U16" s="1"/>
      <c r="V16" s="1"/>
    </row>
    <row r="17" spans="1:22" x14ac:dyDescent="0.35">
      <c r="A17" s="1"/>
      <c r="B17" s="17" t="s">
        <v>53</v>
      </c>
      <c r="C17" s="21"/>
      <c r="D17" s="22"/>
      <c r="E17" s="20"/>
      <c r="F17" s="20"/>
      <c r="G17" s="20"/>
      <c r="H17" s="21"/>
      <c r="I17" s="22"/>
      <c r="J17" s="22"/>
      <c r="K17" s="23"/>
      <c r="L17" s="24"/>
      <c r="M17" s="21" t="s">
        <v>49</v>
      </c>
      <c r="N17" s="25" t="str">
        <f>IF(N(L17)=0,"",IF(OR(M17="",M17="PLN"),L17,IFERROR(ROUND(L17*_xlfn.XLOOKUP(M17,'Kursy NBP'!$B$8:$B$17,'Kursy NBP'!$C$8:$C$17),2),"brak kursu")))</f>
        <v/>
      </c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 s="1"/>
      <c r="B18" s="17" t="s">
        <v>54</v>
      </c>
      <c r="C18" s="21"/>
      <c r="D18" s="22"/>
      <c r="E18" s="20"/>
      <c r="F18" s="20"/>
      <c r="G18" s="20"/>
      <c r="H18" s="21"/>
      <c r="I18" s="22"/>
      <c r="J18" s="22"/>
      <c r="K18" s="23"/>
      <c r="L18" s="24"/>
      <c r="M18" s="21" t="s">
        <v>49</v>
      </c>
      <c r="N18" s="25" t="str">
        <f>IF(N(L18)=0,"",IF(OR(M18="",M18="PLN"),L18,IFERROR(ROUND(L18*_xlfn.XLOOKUP(M18,'Kursy NBP'!$B$8:$B$17,'Kursy NBP'!$C$8:$C$17),2),"brak kursu")))</f>
        <v/>
      </c>
      <c r="O18" s="1"/>
      <c r="P18" s="1"/>
      <c r="Q18" s="1"/>
      <c r="R18" s="1"/>
      <c r="S18" s="1"/>
      <c r="T18" s="1"/>
      <c r="U18" s="1"/>
      <c r="V18" s="1"/>
    </row>
    <row r="19" spans="1:22" x14ac:dyDescent="0.35">
      <c r="A19" s="1"/>
      <c r="B19" s="17" t="s">
        <v>55</v>
      </c>
      <c r="C19" s="21"/>
      <c r="D19" s="22"/>
      <c r="E19" s="20"/>
      <c r="F19" s="20"/>
      <c r="G19" s="20"/>
      <c r="H19" s="21"/>
      <c r="I19" s="22"/>
      <c r="J19" s="22"/>
      <c r="K19" s="23"/>
      <c r="L19" s="24"/>
      <c r="M19" s="21" t="s">
        <v>49</v>
      </c>
      <c r="N19" s="25" t="str">
        <f>IF(N(L19)=0,"",IF(OR(M19="",M19="PLN"),L19,IFERROR(ROUND(L19*_xlfn.XLOOKUP(M19,'Kursy NBP'!$B$8:$B$17,'Kursy NBP'!$C$8:$C$17),2),"brak kursu")))</f>
        <v/>
      </c>
      <c r="O19" s="1"/>
      <c r="P19" s="1"/>
      <c r="Q19" s="1"/>
      <c r="R19" s="1"/>
      <c r="S19" s="1"/>
      <c r="T19" s="1"/>
      <c r="U19" s="1"/>
      <c r="V19" s="1"/>
    </row>
    <row r="20" spans="1:22" x14ac:dyDescent="0.35">
      <c r="A20" s="1"/>
      <c r="B20" s="26" t="s">
        <v>56</v>
      </c>
      <c r="C20" s="27" t="s">
        <v>57</v>
      </c>
      <c r="D20" s="19">
        <v>46283.697916666657</v>
      </c>
      <c r="E20" s="100" t="s">
        <v>58</v>
      </c>
      <c r="F20" s="101"/>
      <c r="G20" s="102"/>
      <c r="H20" s="27"/>
      <c r="I20" s="27"/>
      <c r="J20" s="27"/>
      <c r="K20" s="23"/>
      <c r="L20" s="24"/>
      <c r="M20" s="21" t="s">
        <v>49</v>
      </c>
      <c r="N20" s="25" t="str">
        <f>IF(N(L20)=0,"",IF(OR(M20="",M20="PLN"),L20,IFERROR(ROUND(L20*_xlfn.XLOOKUP(M20,'Kursy NBP'!$B$8:$B$17,'Kursy NBP'!$C$8:$C$17),2),"brak kursu")))</f>
        <v/>
      </c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0" customHeight="1" x14ac:dyDescent="0.35">
      <c r="A22" s="1"/>
      <c r="B22" s="10" t="s">
        <v>59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"/>
      <c r="O22" s="1"/>
      <c r="P22" s="1"/>
      <c r="Q22" s="1"/>
      <c r="R22" s="1"/>
      <c r="S22" s="1"/>
      <c r="T22" s="1"/>
      <c r="U22" s="1"/>
      <c r="V22" s="1"/>
    </row>
    <row r="23" spans="1:22" ht="42" customHeight="1" x14ac:dyDescent="0.35">
      <c r="A23" s="1"/>
      <c r="B23" s="16" t="s">
        <v>33</v>
      </c>
      <c r="C23" s="16" t="s">
        <v>34</v>
      </c>
      <c r="D23" s="16" t="s">
        <v>44</v>
      </c>
      <c r="E23" s="16" t="s">
        <v>60</v>
      </c>
      <c r="F23" s="16" t="s">
        <v>61</v>
      </c>
      <c r="G23" s="16" t="s">
        <v>62</v>
      </c>
      <c r="H23" s="16" t="s">
        <v>63</v>
      </c>
      <c r="I23" s="16" t="s">
        <v>64</v>
      </c>
      <c r="J23" s="16" t="s">
        <v>65</v>
      </c>
      <c r="K23" s="16" t="s">
        <v>66</v>
      </c>
      <c r="L23" s="16" t="s">
        <v>67</v>
      </c>
      <c r="M23" s="16" t="s">
        <v>68</v>
      </c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5">
      <c r="A24" s="1"/>
      <c r="B24" s="17" t="s">
        <v>46</v>
      </c>
      <c r="C24" s="28" t="str">
        <f>IF(C15="","",C15)</f>
        <v>Niemcy</v>
      </c>
      <c r="D24" s="28" t="str">
        <f>IF(C15="","",_xlfn.XLOOKUP(C15,Kraje!$A$2:$A$121,Kraje!$B$2:$B$121,"?"))</f>
        <v>EUR</v>
      </c>
      <c r="E24" s="29">
        <f>IF(C15="","",_xlfn.XLOOKUP(C15,Kraje!$A$2:$A$121,Kraje!$C$2:$C$121,0))</f>
        <v>49</v>
      </c>
      <c r="F24" s="30">
        <f>IF(C15="","",D15)</f>
        <v>46279.4375</v>
      </c>
      <c r="G24" s="30">
        <f>IF(C15="","",IF(C16&lt;&gt;"",D16,$D$20))</f>
        <v>46281.583333333343</v>
      </c>
      <c r="H24" s="31">
        <f>IF(C15="","",IFERROR(MAX(0,ROUND((G24-F24)*1440,0)/60),0))</f>
        <v>51.5</v>
      </c>
      <c r="I24" s="32">
        <f>IF(C15="","",_xlfn.LET(_xlpm.h,H24,_xlpm.d,INT(_xlpm.h/24),_xlpm.reszta,_xlpm.h-24*_xlpm.d,_xlpm.d+IF(_xlpm.reszta=0,0,IF(_xlpm.reszta&lt;=8,1/3,IF(_xlpm.reszta&lt;=12,1/2,1)))))</f>
        <v>2.3333333333333335</v>
      </c>
      <c r="J24" s="25">
        <f>IF(C15="","",ROUND(E24*(N(E15)*Parametry!$C$3+N(F15)*Parametry!$C$4+N(G15)*Parametry!$C$5),2))</f>
        <v>14.7</v>
      </c>
      <c r="K24" s="33">
        <f>IF(C15="","",MAX(0,ROUND(E24*I24-J24,2)))</f>
        <v>99.63</v>
      </c>
      <c r="L24" s="34">
        <f>IF(C15="","",_xlfn.XLOOKUP(D24,'Kursy NBP'!$B$8:$B$17,'Kursy NBP'!$C$8:$C$17,"brak kursu"))</f>
        <v>4.3170999999999999</v>
      </c>
      <c r="M24" s="33">
        <f>IF(C15="","",IF(ISNUMBER(L24),ROUND(K24*L24,2),"brak kursu"))</f>
        <v>430.11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1"/>
      <c r="B25" s="17" t="s">
        <v>50</v>
      </c>
      <c r="C25" s="28" t="str">
        <f>IF(C16="","",C16)</f>
        <v>Austria</v>
      </c>
      <c r="D25" s="28" t="str">
        <f>IF(C16="","",_xlfn.XLOOKUP(C16,Kraje!$A$2:$A$121,Kraje!$B$2:$B$121,"?"))</f>
        <v>EUR</v>
      </c>
      <c r="E25" s="29">
        <f>IF(C16="","",_xlfn.XLOOKUP(C16,Kraje!$A$2:$A$121,Kraje!$C$2:$C$121,0))</f>
        <v>57</v>
      </c>
      <c r="F25" s="30">
        <f>IF(C16="","",D16)</f>
        <v>46281.583333333343</v>
      </c>
      <c r="G25" s="30">
        <f>IF(C16="","",IF(C17&lt;&gt;"",D17,$D$20))</f>
        <v>46283.697916666657</v>
      </c>
      <c r="H25" s="31">
        <f>IF(C16="","",IFERROR(MAX(0,ROUND((G25-F25)*1440,0)/60),0))</f>
        <v>50.75</v>
      </c>
      <c r="I25" s="32">
        <f>IF(C16="","",_xlfn.LET(_xlpm.h,H25,_xlpm.d,INT(_xlpm.h/24),_xlpm.reszta,_xlpm.h-24*_xlpm.d,_xlpm.d+IF(_xlpm.reszta=0,0,IF(_xlpm.reszta&lt;=8,1/3,IF(_xlpm.reszta&lt;=12,1/2,1)))))</f>
        <v>2.3333333333333335</v>
      </c>
      <c r="J25" s="25">
        <f>IF(C16="","",ROUND(E25*(N(E16)*Parametry!$C$3+N(F16)*Parametry!$C$4+N(G16)*Parametry!$C$5),2))</f>
        <v>17.100000000000001</v>
      </c>
      <c r="K25" s="33">
        <f>IF(C16="","",MAX(0,ROUND(E25*I25-J25,2)))</f>
        <v>115.9</v>
      </c>
      <c r="L25" s="34">
        <f>IF(C16="","",_xlfn.XLOOKUP(D25,'Kursy NBP'!$B$8:$B$17,'Kursy NBP'!$C$8:$C$17,"brak kursu"))</f>
        <v>4.3170999999999999</v>
      </c>
      <c r="M25" s="33">
        <f>IF(C16="","",IF(ISNUMBER(L25),ROUND(K25*L25,2),"brak kursu"))</f>
        <v>500.35</v>
      </c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7" t="s">
        <v>53</v>
      </c>
      <c r="C26" s="28" t="str">
        <f>IF(C17="","",C17)</f>
        <v/>
      </c>
      <c r="D26" s="28" t="str">
        <f>IF(C17="","",_xlfn.XLOOKUP(C17,Kraje!$A$2:$A$121,Kraje!$B$2:$B$121,"?"))</f>
        <v/>
      </c>
      <c r="E26" s="29" t="str">
        <f>IF(C17="","",_xlfn.XLOOKUP(C17,Kraje!$A$2:$A$121,Kraje!$C$2:$C$121,0))</f>
        <v/>
      </c>
      <c r="F26" s="30" t="str">
        <f>IF(C17="","",D17)</f>
        <v/>
      </c>
      <c r="G26" s="30" t="str">
        <f>IF(C17="","",IF(C18&lt;&gt;"",D18,$D$20))</f>
        <v/>
      </c>
      <c r="H26" s="31" t="str">
        <f>IF(C17="","",IFERROR(MAX(0,ROUND((G26-F26)*1440,0)/60),0))</f>
        <v/>
      </c>
      <c r="I26" s="32" t="str">
        <f>IF(C17="","",_xlfn.LET(_xlpm.h,H26,_xlpm.d,INT(_xlpm.h/24),_xlpm.reszta,_xlpm.h-24*_xlpm.d,_xlpm.d+IF(_xlpm.reszta=0,0,IF(_xlpm.reszta&lt;=8,1/3,IF(_xlpm.reszta&lt;=12,1/2,1)))))</f>
        <v/>
      </c>
      <c r="J26" s="25" t="str">
        <f>IF(C17="","",ROUND(E26*(N(E17)*Parametry!$C$3+N(F17)*Parametry!$C$4+N(G17)*Parametry!$C$5),2))</f>
        <v/>
      </c>
      <c r="K26" s="33" t="str">
        <f>IF(C17="","",MAX(0,ROUND(E26*I26-J26,2)))</f>
        <v/>
      </c>
      <c r="L26" s="34" t="str">
        <f>IF(C17="","",_xlfn.XLOOKUP(D26,'Kursy NBP'!$B$8:$B$17,'Kursy NBP'!$C$8:$C$17,"brak kursu"))</f>
        <v/>
      </c>
      <c r="M26" s="33" t="str">
        <f>IF(C17="","",IF(ISNUMBER(L26),ROUND(K26*L26,2),"brak kursu"))</f>
        <v/>
      </c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17" t="s">
        <v>54</v>
      </c>
      <c r="C27" s="28" t="str">
        <f>IF(C18="","",C18)</f>
        <v/>
      </c>
      <c r="D27" s="28" t="str">
        <f>IF(C18="","",_xlfn.XLOOKUP(C18,Kraje!$A$2:$A$121,Kraje!$B$2:$B$121,"?"))</f>
        <v/>
      </c>
      <c r="E27" s="29" t="str">
        <f>IF(C18="","",_xlfn.XLOOKUP(C18,Kraje!$A$2:$A$121,Kraje!$C$2:$C$121,0))</f>
        <v/>
      </c>
      <c r="F27" s="30" t="str">
        <f>IF(C18="","",D18)</f>
        <v/>
      </c>
      <c r="G27" s="30" t="str">
        <f>IF(C18="","",IF(C19&lt;&gt;"",D19,$D$20))</f>
        <v/>
      </c>
      <c r="H27" s="31" t="str">
        <f>IF(C18="","",IFERROR(MAX(0,ROUND((G27-F27)*1440,0)/60),0))</f>
        <v/>
      </c>
      <c r="I27" s="32" t="str">
        <f>IF(C18="","",_xlfn.LET(_xlpm.h,H27,_xlpm.d,INT(_xlpm.h/24),_xlpm.reszta,_xlpm.h-24*_xlpm.d,_xlpm.d+IF(_xlpm.reszta=0,0,IF(_xlpm.reszta&lt;=8,1/3,IF(_xlpm.reszta&lt;=12,1/2,1)))))</f>
        <v/>
      </c>
      <c r="J27" s="25" t="str">
        <f>IF(C18="","",ROUND(E27*(N(E18)*Parametry!$C$3+N(F18)*Parametry!$C$4+N(G18)*Parametry!$C$5),2))</f>
        <v/>
      </c>
      <c r="K27" s="33" t="str">
        <f>IF(C18="","",MAX(0,ROUND(E27*I27-J27,2)))</f>
        <v/>
      </c>
      <c r="L27" s="34" t="str">
        <f>IF(C18="","",_xlfn.XLOOKUP(D27,'Kursy NBP'!$B$8:$B$17,'Kursy NBP'!$C$8:$C$17,"brak kursu"))</f>
        <v/>
      </c>
      <c r="M27" s="33" t="str">
        <f>IF(C18="","",IF(ISNUMBER(L27),ROUND(K27*L27,2),"brak kursu"))</f>
        <v/>
      </c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1"/>
      <c r="B28" s="17" t="s">
        <v>55</v>
      </c>
      <c r="C28" s="28" t="str">
        <f>IF(C19="","",C19)</f>
        <v/>
      </c>
      <c r="D28" s="28" t="str">
        <f>IF(C19="","",_xlfn.XLOOKUP(C19,Kraje!$A$2:$A$121,Kraje!$B$2:$B$121,"?"))</f>
        <v/>
      </c>
      <c r="E28" s="29" t="str">
        <f>IF(C19="","",_xlfn.XLOOKUP(C19,Kraje!$A$2:$A$121,Kraje!$C$2:$C$121,0))</f>
        <v/>
      </c>
      <c r="F28" s="30" t="str">
        <f>IF(C19="","",D19)</f>
        <v/>
      </c>
      <c r="G28" s="30" t="str">
        <f>IF(C19="","",$D$20)</f>
        <v/>
      </c>
      <c r="H28" s="31" t="str">
        <f>IF(C19="","",IFERROR(MAX(0,ROUND((G28-F28)*1440,0)/60),0))</f>
        <v/>
      </c>
      <c r="I28" s="32" t="str">
        <f>IF(C19="","",_xlfn.LET(_xlpm.h,H28,_xlpm.d,INT(_xlpm.h/24),_xlpm.reszta,_xlpm.h-24*_xlpm.d,_xlpm.d+IF(_xlpm.reszta=0,0,IF(_xlpm.reszta&lt;=8,1/3,IF(_xlpm.reszta&lt;=12,1/2,1)))))</f>
        <v/>
      </c>
      <c r="J28" s="25" t="str">
        <f>IF(C19="","",ROUND(E28*(N(E19)*Parametry!$C$3+N(F19)*Parametry!$C$4+N(G19)*Parametry!$C$5),2))</f>
        <v/>
      </c>
      <c r="K28" s="33" t="str">
        <f>IF(C19="","",MAX(0,ROUND(E28*I28-J28,2)))</f>
        <v/>
      </c>
      <c r="L28" s="34" t="str">
        <f>IF(C19="","",_xlfn.XLOOKUP(D28,'Kursy NBP'!$B$8:$B$17,'Kursy NBP'!$C$8:$C$17,"brak kursu"))</f>
        <v/>
      </c>
      <c r="M28" s="33" t="str">
        <f>IF(C19="","",IF(ISNUMBER(L28),ROUND(K28*L28,2),"brak kursu"))</f>
        <v/>
      </c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1"/>
      <c r="B29" s="35" t="s">
        <v>69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6">
        <f>SUM(M24:M28)</f>
        <v>930.46</v>
      </c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0" customHeight="1" x14ac:dyDescent="0.35">
      <c r="A31" s="1"/>
      <c r="B31" s="10" t="s">
        <v>70</v>
      </c>
      <c r="C31" s="10"/>
      <c r="D31" s="10"/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30" customHeight="1" x14ac:dyDescent="0.35">
      <c r="A32" s="1"/>
      <c r="B32" s="16" t="s">
        <v>44</v>
      </c>
      <c r="C32" s="16" t="s">
        <v>71</v>
      </c>
      <c r="D32" s="16" t="s">
        <v>67</v>
      </c>
      <c r="E32" s="16" t="s">
        <v>72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1"/>
      <c r="B33" s="17" t="s">
        <v>73</v>
      </c>
      <c r="C33" s="25">
        <f>SUMIF($D$24:$D$28,B33,$K$24:$K$28)</f>
        <v>215.53</v>
      </c>
      <c r="D33" s="34">
        <f>IF(C33=0,"",_xlfn.XLOOKUP(B33,'Kursy NBP'!$B$8:$B$17,'Kursy NBP'!$C$8:$C$17,"brak kursu"))</f>
        <v>4.3170999999999999</v>
      </c>
      <c r="E33" s="25">
        <f>IF(D33="",0,IF(ISNUMBER(D33),ROUND(C33*D33,2),"brak kursu"))</f>
        <v>930.46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5">
      <c r="A34" s="1"/>
      <c r="B34" s="17" t="s">
        <v>74</v>
      </c>
      <c r="C34" s="25">
        <f>SUMIF($D$24:$D$28,B34,$K$24:$K$28)</f>
        <v>0</v>
      </c>
      <c r="D34" s="34" t="str">
        <f>IF(C34=0,"",_xlfn.XLOOKUP(B34,'Kursy NBP'!$B$8:$B$17,'Kursy NBP'!$C$8:$C$17,"brak kursu"))</f>
        <v/>
      </c>
      <c r="E34" s="25">
        <f>IF(D34="",0,IF(ISNUMBER(D34),ROUND(C34*D34,2),"brak kursu"))</f>
        <v>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5">
      <c r="A35" s="1"/>
      <c r="B35" s="17" t="s">
        <v>75</v>
      </c>
      <c r="C35" s="25">
        <f>SUMIF($D$24:$D$28,B35,$K$24:$K$28)</f>
        <v>0</v>
      </c>
      <c r="D35" s="34" t="str">
        <f>IF(C35=0,"",_xlfn.XLOOKUP(B35,'Kursy NBP'!$B$8:$B$17,'Kursy NBP'!$C$8:$C$17,"brak kursu"))</f>
        <v/>
      </c>
      <c r="E35" s="25">
        <f>IF(D35="",0,IF(ISNUMBER(D35),ROUND(C35*D35,2),"brak kursu"))</f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5">
      <c r="A36" s="1"/>
      <c r="B36" s="17" t="s">
        <v>76</v>
      </c>
      <c r="C36" s="25">
        <f>SUMIF($D$24:$D$28,B36,$K$24:$K$28)</f>
        <v>0</v>
      </c>
      <c r="D36" s="34" t="str">
        <f>IF(C36=0,"",_xlfn.XLOOKUP(B36,'Kursy NBP'!$B$8:$B$17,'Kursy NBP'!$C$8:$C$17,"brak kursu"))</f>
        <v/>
      </c>
      <c r="E36" s="25">
        <f>IF(D36="",0,IF(ISNUMBER(D36),ROUND(C36*D36,2),"brak kursu"))</f>
        <v>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1"/>
      <c r="B37" s="17" t="s">
        <v>77</v>
      </c>
      <c r="C37" s="25">
        <f>SUMIF($D$24:$D$28,B37,$K$24:$K$28)</f>
        <v>0</v>
      </c>
      <c r="D37" s="34" t="str">
        <f>IF(C37=0,"",_xlfn.XLOOKUP(B37,'Kursy NBP'!$B$8:$B$17,'Kursy NBP'!$C$8:$C$17,"brak kursu"))</f>
        <v/>
      </c>
      <c r="E37" s="25">
        <f>IF(D37="",0,IF(ISNUMBER(D37),ROUND(C37*D37,2),"brak kursu"))</f>
        <v>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A38" s="1"/>
      <c r="B38" s="17" t="s">
        <v>78</v>
      </c>
      <c r="C38" s="25">
        <f>SUMIF($D$24:$D$28,B38,$K$24:$K$28)</f>
        <v>0</v>
      </c>
      <c r="D38" s="34" t="str">
        <f>IF(C38=0,"",_xlfn.XLOOKUP(B38,'Kursy NBP'!$B$8:$B$17,'Kursy NBP'!$C$8:$C$17,"brak kursu"))</f>
        <v/>
      </c>
      <c r="E38" s="25">
        <f>IF(D38="",0,IF(ISNUMBER(D38),ROUND(C38*D38,2),"brak kursu"))</f>
        <v>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5">
      <c r="A39" s="1"/>
      <c r="B39" s="17" t="s">
        <v>79</v>
      </c>
      <c r="C39" s="25">
        <f>SUMIF($D$24:$D$28,B39,$K$24:$K$28)</f>
        <v>0</v>
      </c>
      <c r="D39" s="34" t="str">
        <f>IF(C39=0,"",_xlfn.XLOOKUP(B39,'Kursy NBP'!$B$8:$B$17,'Kursy NBP'!$C$8:$C$17,"brak kursu"))</f>
        <v/>
      </c>
      <c r="E39" s="25">
        <f>IF(D39="",0,IF(ISNUMBER(D39),ROUND(C39*D39,2),"brak kursu"))</f>
        <v>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5">
      <c r="A40" s="1"/>
      <c r="B40" s="17" t="s">
        <v>80</v>
      </c>
      <c r="C40" s="25">
        <f>SUMIF($D$24:$D$28,B40,$K$24:$K$28)</f>
        <v>0</v>
      </c>
      <c r="D40" s="34" t="str">
        <f>IF(C40=0,"",_xlfn.XLOOKUP(B40,'Kursy NBP'!$B$8:$B$17,'Kursy NBP'!$C$8:$C$17,"brak kursu"))</f>
        <v/>
      </c>
      <c r="E40" s="25">
        <f>IF(D40="",0,IF(ISNUMBER(D40),ROUND(C40*D40,2),"brak kursu"))</f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5">
      <c r="A41" s="1"/>
      <c r="B41" s="17" t="s">
        <v>81</v>
      </c>
      <c r="C41" s="25">
        <f>SUMIF($D$24:$D$28,B41,$K$24:$K$28)</f>
        <v>0</v>
      </c>
      <c r="D41" s="34" t="str">
        <f>IF(C41=0,"",_xlfn.XLOOKUP(B41,'Kursy NBP'!$B$8:$B$17,'Kursy NBP'!$C$8:$C$17,"brak kursu"))</f>
        <v/>
      </c>
      <c r="E41" s="25">
        <f>IF(D41="",0,IF(ISNUMBER(D41),ROUND(C41*D41,2),"brak kursu"))</f>
        <v>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5">
      <c r="A42" s="1"/>
      <c r="B42" s="17" t="s">
        <v>82</v>
      </c>
      <c r="C42" s="25">
        <f>SUMIF($D$24:$D$28,B42,$K$24:$K$28)</f>
        <v>0</v>
      </c>
      <c r="D42" s="34" t="str">
        <f>IF(C42=0,"",_xlfn.XLOOKUP(B42,'Kursy NBP'!$B$8:$B$17,'Kursy NBP'!$C$8:$C$17,"brak kursu"))</f>
        <v/>
      </c>
      <c r="E42" s="25">
        <f>IF(D42="",0,IF(ISNUMBER(D42),ROUND(C42*D42,2),"brak kursu"))</f>
        <v>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0" customHeight="1" x14ac:dyDescent="0.35">
      <c r="A44" s="1"/>
      <c r="B44" s="10" t="s">
        <v>83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"/>
      <c r="O44" s="1"/>
      <c r="P44" s="1"/>
      <c r="Q44" s="1"/>
      <c r="R44" s="1"/>
      <c r="S44" s="1"/>
      <c r="T44" s="1"/>
      <c r="U44" s="1"/>
      <c r="V44" s="1"/>
    </row>
    <row r="45" spans="1:22" ht="30" customHeight="1" x14ac:dyDescent="0.35">
      <c r="A45" s="1"/>
      <c r="B45" s="16" t="s">
        <v>84</v>
      </c>
      <c r="C45" s="16" t="s">
        <v>85</v>
      </c>
      <c r="D45" s="16" t="s">
        <v>44</v>
      </c>
      <c r="E45" s="16" t="s">
        <v>67</v>
      </c>
      <c r="F45" s="16" t="s">
        <v>86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5">
      <c r="A46" s="1"/>
      <c r="B46" s="28" t="s">
        <v>87</v>
      </c>
      <c r="C46" s="24"/>
      <c r="D46" s="21" t="s">
        <v>49</v>
      </c>
      <c r="E46" s="34" t="str">
        <f>IF(OR(N(C46)=0,D46="",D46="PLN"),"",_xlfn.XLOOKUP(D46,'Kursy NBP'!$B$8:$B$17,'Kursy NBP'!$C$8:$C$17,"brak kursu"))</f>
        <v/>
      </c>
      <c r="F46" s="25" t="str">
        <f>IF(N(C46)=0,"",IF(OR(D46="",D46="PLN"),C46,IFERROR(ROUND(C46*_xlfn.XLOOKUP(D46,'Kursy NBP'!$B$8:$B$17,'Kursy NBP'!$C$8:$C$17),2),"brak kursu")))</f>
        <v/>
      </c>
      <c r="G46" s="37" t="s">
        <v>88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5">
      <c r="A47" s="1"/>
      <c r="B47" s="28" t="s">
        <v>89</v>
      </c>
      <c r="C47" s="24"/>
      <c r="D47" s="21" t="s">
        <v>49</v>
      </c>
      <c r="E47" s="34" t="str">
        <f>IF(OR(N(C47)=0,D47="",D47="PLN"),"",_xlfn.XLOOKUP(D47,'Kursy NBP'!$B$8:$B$17,'Kursy NBP'!$C$8:$C$17,"brak kursu"))</f>
        <v/>
      </c>
      <c r="F47" s="25" t="str">
        <f>IF(N(C47)=0,"",IF(OR(D47="",D47="PLN"),C47,IFERROR(ROUND(C47*_xlfn.XLOOKUP(D47,'Kursy NBP'!$B$8:$B$17,'Kursy NBP'!$C$8:$C$17),2),"brak kursu")))</f>
        <v/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5">
      <c r="A48" s="1"/>
      <c r="B48" s="28" t="s">
        <v>90</v>
      </c>
      <c r="C48" s="24">
        <v>380</v>
      </c>
      <c r="D48" s="21" t="s">
        <v>73</v>
      </c>
      <c r="E48" s="34">
        <f>IF(OR(N(C48)=0,D48="",D48="PLN"),"",_xlfn.XLOOKUP(D48,'Kursy NBP'!$B$8:$B$17,'Kursy NBP'!$C$8:$C$17,"brak kursu"))</f>
        <v>4.3170999999999999</v>
      </c>
      <c r="F48" s="25">
        <f>IF(N(C48)=0,"",IF(OR(D48="",D48="PLN"),C48,IFERROR(ROUND(C48*_xlfn.XLOOKUP(D48,'Kursy NBP'!$B$8:$B$17,'Kursy NBP'!$C$8:$C$17),2),"brak kursu")))</f>
        <v>1640.5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5">
      <c r="A49" s="1"/>
      <c r="B49" s="28" t="s">
        <v>91</v>
      </c>
      <c r="C49" s="24"/>
      <c r="D49" s="21" t="s">
        <v>49</v>
      </c>
      <c r="E49" s="34" t="str">
        <f>IF(OR(N(C49)=0,D49="",D49="PLN"),"",_xlfn.XLOOKUP(D49,'Kursy NBP'!$B$8:$B$17,'Kursy NBP'!$C$8:$C$17,"brak kursu"))</f>
        <v/>
      </c>
      <c r="F49" s="25" t="str">
        <f>IF(N(C49)=0,"",IF(OR(D49="",D49="PLN"),C49,IFERROR(ROUND(C49*_xlfn.XLOOKUP(D49,'Kursy NBP'!$B$8:$B$17,'Kursy NBP'!$C$8:$C$17),2),"brak kursu")))</f>
        <v/>
      </c>
      <c r="G49" s="37" t="s">
        <v>92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5">
      <c r="A50" s="1"/>
      <c r="B50" s="28" t="s">
        <v>93</v>
      </c>
      <c r="C50" s="24"/>
      <c r="D50" s="21" t="s">
        <v>49</v>
      </c>
      <c r="E50" s="34" t="str">
        <f>IF(OR(N(C50)=0,D50="",D50="PLN"),"",_xlfn.XLOOKUP(D50,'Kursy NBP'!$B$8:$B$17,'Kursy NBP'!$C$8:$C$17,"brak kursu"))</f>
        <v/>
      </c>
      <c r="F50" s="25" t="str">
        <f>IF(N(C50)=0,"",IF(OR(D50="",D50="PLN"),C50,IFERROR(ROUND(C50*_xlfn.XLOOKUP(D50,'Kursy NBP'!$B$8:$B$17,'Kursy NBP'!$C$8:$C$17),2),"brak kursu")))</f>
        <v/>
      </c>
      <c r="G50" s="37" t="s">
        <v>94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5">
      <c r="A51" s="1"/>
      <c r="B51" s="35" t="s">
        <v>95</v>
      </c>
      <c r="C51" s="35"/>
      <c r="D51" s="35"/>
      <c r="E51" s="35"/>
      <c r="F51" s="36">
        <f>M29+SUM(N15:N20)+SUM(F46:F50)</f>
        <v>2570.96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</sheetData>
  <sheetProtection sheet="1" objects="1" scenarios="1" formatCells="0" formatColumns="0" formatRows="0"/>
  <mergeCells count="29">
    <mergeCell ref="E20:G20"/>
    <mergeCell ref="M1:N1"/>
    <mergeCell ref="M2:N2"/>
    <mergeCell ref="K11:L11"/>
    <mergeCell ref="C10:G10"/>
    <mergeCell ref="I7:J7"/>
    <mergeCell ref="K1:L1"/>
    <mergeCell ref="C9:G9"/>
    <mergeCell ref="K8:L8"/>
    <mergeCell ref="K2:L2"/>
    <mergeCell ref="C11:G11"/>
    <mergeCell ref="I5:J5"/>
    <mergeCell ref="I8:J8"/>
    <mergeCell ref="E1:H1"/>
    <mergeCell ref="C8:G8"/>
    <mergeCell ref="I1:J1"/>
    <mergeCell ref="C7:G7"/>
    <mergeCell ref="I6:J6"/>
    <mergeCell ref="C6:G6"/>
    <mergeCell ref="I2:J2"/>
    <mergeCell ref="K9:L9"/>
    <mergeCell ref="I11:J11"/>
    <mergeCell ref="C5:G5"/>
    <mergeCell ref="K5:L5"/>
    <mergeCell ref="K7:L7"/>
    <mergeCell ref="I10:J10"/>
    <mergeCell ref="K10:L10"/>
    <mergeCell ref="K6:L6"/>
    <mergeCell ref="I9:J9"/>
  </mergeCells>
  <conditionalFormatting sqref="B16:C19">
    <cfRule type="expression" dxfId="26" priority="23">
      <formula>$C15=""</formula>
    </cfRule>
  </conditionalFormatting>
  <conditionalFormatting sqref="B24:M28">
    <cfRule type="expression" dxfId="25" priority="25">
      <formula>$C15=""</formula>
    </cfRule>
  </conditionalFormatting>
  <conditionalFormatting sqref="C15">
    <cfRule type="expression" dxfId="24" priority="4">
      <formula>$C15=""</formula>
    </cfRule>
  </conditionalFormatting>
  <conditionalFormatting sqref="C16:C18">
    <cfRule type="expression" dxfId="23" priority="5">
      <formula>AND($C16="",COUNTIF($C17:$C$19,"?*")&gt;0)</formula>
    </cfRule>
  </conditionalFormatting>
  <conditionalFormatting sqref="C9:G9">
    <cfRule type="expression" dxfId="22" priority="11">
      <formula>ISTEXT($C$9)</formula>
    </cfRule>
  </conditionalFormatting>
  <conditionalFormatting sqref="D15:D19">
    <cfRule type="expression" dxfId="21" priority="13">
      <formula>AND($C15&lt;&gt;"",$D15="")</formula>
    </cfRule>
  </conditionalFormatting>
  <conditionalFormatting sqref="D15:D20">
    <cfRule type="expression" dxfId="20" priority="6">
      <formula>ISTEXT($D15)</formula>
    </cfRule>
  </conditionalFormatting>
  <conditionalFormatting sqref="D16:D19">
    <cfRule type="expression" dxfId="19" priority="3">
      <formula>$C16&lt;&gt;""</formula>
    </cfRule>
    <cfRule type="expression" dxfId="18" priority="14">
      <formula>AND($C16&lt;&gt;"",$D16&lt;&gt;"",$D16&lt;=$D15)</formula>
    </cfRule>
  </conditionalFormatting>
  <conditionalFormatting sqref="D20">
    <cfRule type="expression" dxfId="17" priority="15">
      <formula>AND($C$15&lt;&gt;"",OR($D$20="",$D$20&lt;=MAX($D$15:$D$19)))</formula>
    </cfRule>
  </conditionalFormatting>
  <conditionalFormatting sqref="D46:D50">
    <cfRule type="expression" dxfId="16" priority="22">
      <formula>$F46="brak kursu"</formula>
    </cfRule>
  </conditionalFormatting>
  <conditionalFormatting sqref="D15:N19">
    <cfRule type="expression" dxfId="15" priority="24">
      <formula>$C15=""</formula>
    </cfRule>
  </conditionalFormatting>
  <conditionalFormatting sqref="E15:G19">
    <cfRule type="expression" dxfId="14" priority="12">
      <formula>AND($C15&lt;&gt;"",N(E15)&gt;IFERROR(ROUNDUP($I24,0),1000000000))</formula>
    </cfRule>
  </conditionalFormatting>
  <conditionalFormatting sqref="E1:H1">
    <cfRule type="expression" dxfId="13" priority="1">
      <formula>$E$1="OK"</formula>
    </cfRule>
    <cfRule type="expression" dxfId="12" priority="2">
      <formula>$E$1&lt;&gt;"OK"</formula>
    </cfRule>
  </conditionalFormatting>
  <conditionalFormatting sqref="I15:I19">
    <cfRule type="expression" dxfId="11" priority="19">
      <formula>AND($I15&lt;&gt;"",$D15&lt;&gt;"",OR($I15&lt;$D15,$I15&gt;IF(AND($C16&lt;&gt;"",$D16&lt;&gt;""),$D16,$D$20)))</formula>
    </cfRule>
  </conditionalFormatting>
  <conditionalFormatting sqref="I15:J19">
    <cfRule type="expression" dxfId="10" priority="7">
      <formula>ISTEXT(I15)</formula>
    </cfRule>
  </conditionalFormatting>
  <conditionalFormatting sqref="J15:J19">
    <cfRule type="expression" dxfId="9" priority="20">
      <formula>AND($J15&lt;&gt;"",OR($J15&lt;IF($I15&lt;&gt;"",$I15,$D15),$J15&gt;IF(AND($C16&lt;&gt;"",$D16&lt;&gt;""),$D16,$D$20)))</formula>
    </cfRule>
  </conditionalFormatting>
  <conditionalFormatting sqref="K5:L5">
    <cfRule type="expression" dxfId="8" priority="8">
      <formula>ISTEXT($K$5)</formula>
    </cfRule>
    <cfRule type="expression" dxfId="7" priority="17">
      <formula>AND($K$5&lt;&gt;"",$D$15&lt;&gt;"",$K$5&gt;$D$15)</formula>
    </cfRule>
  </conditionalFormatting>
  <conditionalFormatting sqref="K6:L6">
    <cfRule type="expression" dxfId="6" priority="9">
      <formula>ISTEXT($K$6)</formula>
    </cfRule>
    <cfRule type="expression" dxfId="5" priority="18">
      <formula>AND($K$6&lt;&gt;"",$D$20&lt;&gt;"",$K$6&lt;$D$20)</formula>
    </cfRule>
  </conditionalFormatting>
  <conditionalFormatting sqref="K7:L7">
    <cfRule type="expression" dxfId="4" priority="10">
      <formula>ISTEXT($K$7)</formula>
    </cfRule>
    <cfRule type="expression" dxfId="3" priority="16">
      <formula>$K$7=""</formula>
    </cfRule>
  </conditionalFormatting>
  <conditionalFormatting sqref="M15:M20">
    <cfRule type="expression" dxfId="2" priority="21">
      <formula>$N15="brak kursu"</formula>
    </cfRule>
  </conditionalFormatting>
  <dataValidations count="5">
    <dataValidation type="list" allowBlank="1" showErrorMessage="1" errorTitle="Niepoprawna wartość" error="Wybierz wartość z listy." sqref="K8" xr:uid="{00000000-0002-0000-0000-000000000000}">
      <formula1>"dzień przed datą kursu,w dniu daty kursu"</formula1>
    </dataValidation>
    <dataValidation type="list" allowBlank="1" showErrorMessage="1" errorTitle="Niepoprawna wartość" error="Wybierz wartość z listy." sqref="D46:D50 M15:M20" xr:uid="{00000000-0002-0000-0000-000001000000}">
      <formula1>"PLN,EUR,USD,AUD,DKK,JPY,CAD,NOK,CHF,SEK,GBP"</formula1>
    </dataValidation>
    <dataValidation type="decimal" operator="greaterThanOrEqual" allowBlank="1" showErrorMessage="1" error="Wpisz kwotę ≥ 0." sqref="C46:C50 L15:L20" xr:uid="{00000000-0002-0000-0000-000002000000}">
      <formula1>0</formula1>
    </dataValidation>
    <dataValidation type="whole" operator="greaterThanOrEqual" allowBlank="1" showErrorMessage="1" error="Wpisz liczbę całkowitą ≥ 0." sqref="E15:G19" xr:uid="{00000000-0002-0000-0000-000004000000}">
      <formula1>0</formula1>
    </dataValidation>
    <dataValidation type="decimal" allowBlank="1" showErrorMessage="1" errorTitle="Niepoprawna data" error="Wpisz datę (i godzinę), np. 14.09.2026 10:30." sqref="C9 D15:D20 I15:J19 K5 K6 K7" xr:uid="{00000000-0002-0000-0000-000005000000}">
      <formula1>36526</formula1>
      <formula2>73051</formula2>
    </dataValidation>
  </dataValidations>
  <pageMargins left="0.75" right="0.75" top="1" bottom="1" header="0.5" footer="0.5"/>
  <pageSetup fitToHeight="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Niepoprawna wartość" error="Wybierz wartość z listy." promptTitle="Podpowiedź" prompt="Wybierz kraj – waluta i stawka diety ustawią się automatycznie." xr:uid="{00000000-0002-0000-0000-000003000000}">
          <x14:formula1>
            <xm:f>Kraje!$A$2:$A$121</xm:f>
          </x14:formula1>
          <xm:sqref>C15:C19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20"/>
  <sheetViews>
    <sheetView showGridLines="0" workbookViewId="0"/>
  </sheetViews>
  <sheetFormatPr defaultRowHeight="14.5" x14ac:dyDescent="0.35"/>
  <cols>
    <col min="1" max="1" width="2" customWidth="1"/>
    <col min="2" max="2" width="18" customWidth="1"/>
    <col min="3" max="4" width="15.453125" customWidth="1"/>
    <col min="5" max="5" width="19" customWidth="1"/>
    <col min="6" max="6" width="9" customWidth="1"/>
    <col min="7" max="7" width="8.453125" customWidth="1"/>
    <col min="8" max="10" width="10.453125" customWidth="1"/>
    <col min="11" max="11" width="7" customWidth="1"/>
  </cols>
  <sheetData>
    <row r="1" spans="1:2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" x14ac:dyDescent="0.4">
      <c r="A2" s="1"/>
      <c r="B2" s="110" t="s">
        <v>96</v>
      </c>
      <c r="C2" s="86"/>
      <c r="D2" s="86"/>
      <c r="E2" s="86"/>
      <c r="F2" s="86"/>
      <c r="G2" s="86"/>
      <c r="H2" s="86"/>
      <c r="I2" s="86"/>
      <c r="J2" s="86"/>
      <c r="K2" s="8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09" t="s">
        <v>97</v>
      </c>
      <c r="C3" s="86"/>
      <c r="D3" s="86"/>
      <c r="E3" s="86"/>
      <c r="F3" s="86"/>
      <c r="G3" s="86"/>
      <c r="H3" s="86"/>
      <c r="I3" s="86"/>
      <c r="J3" s="86"/>
      <c r="K3" s="8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08" t="str">
        <f>IF(Kalkulator!E1="OK","","UWAGA: "&amp;Kalkulator!E1)</f>
        <v/>
      </c>
      <c r="C4" s="86"/>
      <c r="D4" s="86"/>
      <c r="E4" s="86"/>
      <c r="F4" s="86"/>
      <c r="G4" s="86"/>
      <c r="H4" s="86"/>
      <c r="I4" s="86"/>
      <c r="J4" s="86"/>
      <c r="K4" s="86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2" customHeight="1" x14ac:dyDescent="0.35">
      <c r="A6" s="1"/>
      <c r="B6" s="105" t="s">
        <v>98</v>
      </c>
      <c r="C6" s="86"/>
      <c r="D6" s="86"/>
      <c r="E6" s="86"/>
      <c r="F6" s="86"/>
      <c r="G6" s="86"/>
      <c r="H6" s="86"/>
      <c r="I6" s="86"/>
      <c r="J6" s="86"/>
      <c r="K6" s="86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0" customHeight="1" x14ac:dyDescent="0.35">
      <c r="A7" s="1"/>
      <c r="B7" s="103" t="s">
        <v>99</v>
      </c>
      <c r="C7" s="104"/>
      <c r="D7" s="104"/>
      <c r="E7" s="106" t="str">
        <f>IF(Kalkulator!C5="","",Kalkulator!C5)</f>
        <v>Jan Kowalski</v>
      </c>
      <c r="F7" s="104"/>
      <c r="G7" s="104"/>
      <c r="H7" s="104"/>
      <c r="I7" s="104"/>
      <c r="J7" s="104"/>
      <c r="K7" s="104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0" customHeight="1" x14ac:dyDescent="0.35">
      <c r="A8" s="1"/>
      <c r="B8" s="103" t="s">
        <v>100</v>
      </c>
      <c r="C8" s="104"/>
      <c r="D8" s="104"/>
      <c r="E8" s="106" t="str">
        <f>IF(Kalkulator!C7="","",Kalkulator!C7)</f>
        <v>Serwis linii pakującej – klient w Monachium i Linzu</v>
      </c>
      <c r="F8" s="104"/>
      <c r="G8" s="104"/>
      <c r="H8" s="104"/>
      <c r="I8" s="104"/>
      <c r="J8" s="104"/>
      <c r="K8" s="104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0" customHeight="1" x14ac:dyDescent="0.35">
      <c r="A9" s="1"/>
      <c r="B9" s="103" t="s">
        <v>101</v>
      </c>
      <c r="C9" s="104"/>
      <c r="D9" s="104"/>
      <c r="E9" s="106" t="str" cm="1">
        <f t="array" ref="E9">IFERROR(_xlfn.TEXTJOIN(", ",TRUE,_xlfn.UNIQUE(_xlfn._xlws.FILTER(Kalkulator!C15:C19,Kalkulator!C15:C19&lt;&gt;""))),"")</f>
        <v>Niemcy, Austria</v>
      </c>
      <c r="F9" s="104"/>
      <c r="G9" s="104"/>
      <c r="H9" s="104"/>
      <c r="I9" s="104"/>
      <c r="J9" s="104"/>
      <c r="K9" s="104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0" customHeight="1" x14ac:dyDescent="0.35">
      <c r="A10" s="1"/>
      <c r="B10" s="103" t="s">
        <v>102</v>
      </c>
      <c r="C10" s="104"/>
      <c r="D10" s="104"/>
      <c r="E10" s="111">
        <f>IF(Kalkulator!D15="","",Kalkulator!D15)</f>
        <v>46279.4375</v>
      </c>
      <c r="F10" s="104"/>
      <c r="G10" s="104"/>
      <c r="H10" s="104"/>
      <c r="I10" s="104"/>
      <c r="J10" s="104"/>
      <c r="K10" s="10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0" customHeight="1" x14ac:dyDescent="0.35">
      <c r="A11" s="1"/>
      <c r="B11" s="103" t="s">
        <v>103</v>
      </c>
      <c r="C11" s="104"/>
      <c r="D11" s="104"/>
      <c r="E11" s="111">
        <f>IF(Kalkulator!D20="","",Kalkulator!D20)</f>
        <v>46283.697916666657</v>
      </c>
      <c r="F11" s="104"/>
      <c r="G11" s="104"/>
      <c r="H11" s="104"/>
      <c r="I11" s="104"/>
      <c r="J11" s="104"/>
      <c r="K11" s="10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0" customHeight="1" x14ac:dyDescent="0.35">
      <c r="A12" s="1"/>
      <c r="B12" s="103" t="s">
        <v>104</v>
      </c>
      <c r="C12" s="104"/>
      <c r="D12" s="104"/>
      <c r="E12" s="106" t="str">
        <f>IF(OR(Kalkulator!D15="",Kalkulator!D20=""),"",_xlfn.LET(_xlpm.m,ROUND((Kalkulator!D20-Kalkulator!D15)*1440,0),_xlpm.d,INT(_xlpm.m/1440),_xlpm.h,INT(MOD(_xlpm.m,1440)/60),_xlpm.mi,MOD(_xlpm.m,60),_xlpm.d&amp;IF(_xlpm.d=1," dzień "," dni ")&amp;_xlpm.h&amp;" godz. "&amp;_xlpm.mi&amp;" min"))</f>
        <v>4 dni 6 godz. 15 min</v>
      </c>
      <c r="F12" s="104"/>
      <c r="G12" s="104"/>
      <c r="H12" s="104"/>
      <c r="I12" s="104"/>
      <c r="J12" s="104"/>
      <c r="K12" s="10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2" customHeight="1" x14ac:dyDescent="0.35">
      <c r="A14" s="1"/>
      <c r="B14" s="105" t="s">
        <v>105</v>
      </c>
      <c r="C14" s="86"/>
      <c r="D14" s="86"/>
      <c r="E14" s="86"/>
      <c r="F14" s="86"/>
      <c r="G14" s="86"/>
      <c r="H14" s="86"/>
      <c r="I14" s="86"/>
      <c r="J14" s="86"/>
      <c r="K14" s="8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30" customHeight="1" x14ac:dyDescent="0.35">
      <c r="A15" s="1"/>
      <c r="B15" s="38" t="s">
        <v>34</v>
      </c>
      <c r="C15" s="38" t="s">
        <v>61</v>
      </c>
      <c r="D15" s="38" t="s">
        <v>62</v>
      </c>
      <c r="E15" s="38" t="s">
        <v>106</v>
      </c>
      <c r="F15" s="38" t="s">
        <v>60</v>
      </c>
      <c r="G15" s="38" t="s">
        <v>64</v>
      </c>
      <c r="H15" s="38" t="s">
        <v>107</v>
      </c>
      <c r="I15" s="38" t="s">
        <v>65</v>
      </c>
      <c r="J15" s="38" t="s">
        <v>108</v>
      </c>
      <c r="K15" s="38" t="s">
        <v>44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8" customHeight="1" x14ac:dyDescent="0.35">
      <c r="A16" s="1"/>
      <c r="B16" s="39" t="str">
        <f>IF(Kalkulator!$C24="","",Kalkulator!C24)</f>
        <v>Niemcy</v>
      </c>
      <c r="C16" s="40">
        <f>IF(Kalkulator!$C24="","",Kalkulator!F24)</f>
        <v>46279.4375</v>
      </c>
      <c r="D16" s="40">
        <f>IF(Kalkulator!$C24="","",Kalkulator!G24)</f>
        <v>46281.583333333343</v>
      </c>
      <c r="E16" s="41" t="str">
        <f>IF(Kalkulator!$C24="","",_xlfn.LET(_xlpm.m,ROUND(Kalkulator!H24*60,0),_xlpm.d,INT(_xlpm.m/1440),_xlpm.h,INT(MOD(_xlpm.m,1440)/60),_xlpm.mi,MOD(_xlpm.m,60),_xlpm.d&amp;IF(_xlpm.d=1," dzień "," dni ")&amp;_xlpm.h&amp;" godz."&amp;IF(_xlpm.mi&gt;0," "&amp;_xlpm.mi&amp;" min","")))</f>
        <v>2 dni 3 godz. 30 min</v>
      </c>
      <c r="F16" s="42">
        <f>IF(Kalkulator!$C24="","",Kalkulator!E24)</f>
        <v>49</v>
      </c>
      <c r="G16" s="43">
        <f>IF(Kalkulator!$C24="","",Kalkulator!I24)</f>
        <v>2.3333333333333335</v>
      </c>
      <c r="H16" s="42">
        <f>IF(Kalkulator!$C24="","",ROUND(Kalkulator!E24*Kalkulator!I24,2))</f>
        <v>114.33</v>
      </c>
      <c r="I16" s="42">
        <f>IF(Kalkulator!$C24="","",Kalkulator!J24)</f>
        <v>14.7</v>
      </c>
      <c r="J16" s="44">
        <f>IF(Kalkulator!$C24="","",Kalkulator!K24)</f>
        <v>99.63</v>
      </c>
      <c r="K16" s="41" t="str">
        <f>IF(Kalkulator!$C24="","",Kalkulator!D24)</f>
        <v>EUR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8" customHeight="1" x14ac:dyDescent="0.35">
      <c r="A17" s="1"/>
      <c r="B17" s="39" t="str">
        <f>IF(Kalkulator!$C25="","",Kalkulator!C25)</f>
        <v>Austria</v>
      </c>
      <c r="C17" s="40">
        <f>IF(Kalkulator!$C25="","",Kalkulator!F25)</f>
        <v>46281.583333333343</v>
      </c>
      <c r="D17" s="40">
        <f>IF(Kalkulator!$C25="","",Kalkulator!G25)</f>
        <v>46283.697916666657</v>
      </c>
      <c r="E17" s="41" t="str">
        <f>IF(Kalkulator!$C25="","",_xlfn.LET(_xlpm.m,ROUND(Kalkulator!H25*60,0),_xlpm.d,INT(_xlpm.m/1440),_xlpm.h,INT(MOD(_xlpm.m,1440)/60),_xlpm.mi,MOD(_xlpm.m,60),_xlpm.d&amp;IF(_xlpm.d=1," dzień "," dni ")&amp;_xlpm.h&amp;" godz."&amp;IF(_xlpm.mi&gt;0," "&amp;_xlpm.mi&amp;" min","")))</f>
        <v>2 dni 2 godz. 45 min</v>
      </c>
      <c r="F17" s="42">
        <f>IF(Kalkulator!$C25="","",Kalkulator!E25)</f>
        <v>57</v>
      </c>
      <c r="G17" s="43">
        <f>IF(Kalkulator!$C25="","",Kalkulator!I25)</f>
        <v>2.3333333333333335</v>
      </c>
      <c r="H17" s="42">
        <f>IF(Kalkulator!$C25="","",ROUND(Kalkulator!E25*Kalkulator!I25,2))</f>
        <v>133</v>
      </c>
      <c r="I17" s="42">
        <f>IF(Kalkulator!$C25="","",Kalkulator!J25)</f>
        <v>17.100000000000001</v>
      </c>
      <c r="J17" s="44">
        <f>IF(Kalkulator!$C25="","",Kalkulator!K25)</f>
        <v>115.9</v>
      </c>
      <c r="K17" s="41" t="str">
        <f>IF(Kalkulator!$C25="","",Kalkulator!D25)</f>
        <v>EUR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8" customHeight="1" x14ac:dyDescent="0.35">
      <c r="A18" s="1"/>
      <c r="B18" s="39" t="str">
        <f>IF(Kalkulator!$C26="","",Kalkulator!C26)</f>
        <v/>
      </c>
      <c r="C18" s="40" t="str">
        <f>IF(Kalkulator!$C26="","",Kalkulator!F26)</f>
        <v/>
      </c>
      <c r="D18" s="40" t="str">
        <f>IF(Kalkulator!$C26="","",Kalkulator!G26)</f>
        <v/>
      </c>
      <c r="E18" s="41" t="str">
        <f>IF(Kalkulator!$C26="","",_xlfn.LET(_xlpm.m,ROUND(Kalkulator!H26*60,0),_xlpm.d,INT(_xlpm.m/1440),_xlpm.h,INT(MOD(_xlpm.m,1440)/60),_xlpm.mi,MOD(_xlpm.m,60),_xlpm.d&amp;IF(_xlpm.d=1," dzień "," dni ")&amp;_xlpm.h&amp;" godz."&amp;IF(_xlpm.mi&gt;0," "&amp;_xlpm.mi&amp;" min","")))</f>
        <v/>
      </c>
      <c r="F18" s="42" t="str">
        <f>IF(Kalkulator!$C26="","",Kalkulator!E26)</f>
        <v/>
      </c>
      <c r="G18" s="43" t="str">
        <f>IF(Kalkulator!$C26="","",Kalkulator!I26)</f>
        <v/>
      </c>
      <c r="H18" s="42" t="str">
        <f>IF(Kalkulator!$C26="","",ROUND(Kalkulator!E26*Kalkulator!I26,2))</f>
        <v/>
      </c>
      <c r="I18" s="42" t="str">
        <f>IF(Kalkulator!$C26="","",Kalkulator!J26)</f>
        <v/>
      </c>
      <c r="J18" s="44" t="str">
        <f>IF(Kalkulator!$C26="","",Kalkulator!K26)</f>
        <v/>
      </c>
      <c r="K18" s="41" t="str">
        <f>IF(Kalkulator!$C26="","",Kalkulator!D26)</f>
        <v/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8" customHeight="1" x14ac:dyDescent="0.35">
      <c r="A19" s="1"/>
      <c r="B19" s="39" t="str">
        <f>IF(Kalkulator!$C27="","",Kalkulator!C27)</f>
        <v/>
      </c>
      <c r="C19" s="40" t="str">
        <f>IF(Kalkulator!$C27="","",Kalkulator!F27)</f>
        <v/>
      </c>
      <c r="D19" s="40" t="str">
        <f>IF(Kalkulator!$C27="","",Kalkulator!G27)</f>
        <v/>
      </c>
      <c r="E19" s="41" t="str">
        <f>IF(Kalkulator!$C27="","",_xlfn.LET(_xlpm.m,ROUND(Kalkulator!H27*60,0),_xlpm.d,INT(_xlpm.m/1440),_xlpm.h,INT(MOD(_xlpm.m,1440)/60),_xlpm.mi,MOD(_xlpm.m,60),_xlpm.d&amp;IF(_xlpm.d=1," dzień "," dni ")&amp;_xlpm.h&amp;" godz."&amp;IF(_xlpm.mi&gt;0," "&amp;_xlpm.mi&amp;" min","")))</f>
        <v/>
      </c>
      <c r="F19" s="42" t="str">
        <f>IF(Kalkulator!$C27="","",Kalkulator!E27)</f>
        <v/>
      </c>
      <c r="G19" s="43" t="str">
        <f>IF(Kalkulator!$C27="","",Kalkulator!I27)</f>
        <v/>
      </c>
      <c r="H19" s="42" t="str">
        <f>IF(Kalkulator!$C27="","",ROUND(Kalkulator!E27*Kalkulator!I27,2))</f>
        <v/>
      </c>
      <c r="I19" s="42" t="str">
        <f>IF(Kalkulator!$C27="","",Kalkulator!J27)</f>
        <v/>
      </c>
      <c r="J19" s="44" t="str">
        <f>IF(Kalkulator!$C27="","",Kalkulator!K27)</f>
        <v/>
      </c>
      <c r="K19" s="41" t="str">
        <f>IF(Kalkulator!$C27="","",Kalkulator!D27)</f>
        <v/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8" customHeight="1" x14ac:dyDescent="0.35">
      <c r="A20" s="1"/>
      <c r="B20" s="39" t="str">
        <f>IF(Kalkulator!$C28="","",Kalkulator!C28)</f>
        <v/>
      </c>
      <c r="C20" s="40" t="str">
        <f>IF(Kalkulator!$C28="","",Kalkulator!F28)</f>
        <v/>
      </c>
      <c r="D20" s="40" t="str">
        <f>IF(Kalkulator!$C28="","",Kalkulator!G28)</f>
        <v/>
      </c>
      <c r="E20" s="41" t="str">
        <f>IF(Kalkulator!$C28="","",_xlfn.LET(_xlpm.m,ROUND(Kalkulator!H28*60,0),_xlpm.d,INT(_xlpm.m/1440),_xlpm.h,INT(MOD(_xlpm.m,1440)/60),_xlpm.mi,MOD(_xlpm.m,60),_xlpm.d&amp;IF(_xlpm.d=1," dzień "," dni ")&amp;_xlpm.h&amp;" godz."&amp;IF(_xlpm.mi&gt;0," "&amp;_xlpm.mi&amp;" min","")))</f>
        <v/>
      </c>
      <c r="F20" s="42" t="str">
        <f>IF(Kalkulator!$C28="","",Kalkulator!E28)</f>
        <v/>
      </c>
      <c r="G20" s="43" t="str">
        <f>IF(Kalkulator!$C28="","",Kalkulator!I28)</f>
        <v/>
      </c>
      <c r="H20" s="42" t="str">
        <f>IF(Kalkulator!$C28="","",ROUND(Kalkulator!E28*Kalkulator!I28,2))</f>
        <v/>
      </c>
      <c r="I20" s="42" t="str">
        <f>IF(Kalkulator!$C28="","",Kalkulator!J28)</f>
        <v/>
      </c>
      <c r="J20" s="44" t="str">
        <f>IF(Kalkulator!$C28="","",Kalkulator!K28)</f>
        <v/>
      </c>
      <c r="K20" s="41" t="str">
        <f>IF(Kalkulator!$C28="","",Kalkulator!D28)</f>
        <v/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2" customHeight="1" x14ac:dyDescent="0.35">
      <c r="A22" s="1"/>
      <c r="B22" s="105" t="s">
        <v>109</v>
      </c>
      <c r="C22" s="86"/>
      <c r="D22" s="86"/>
      <c r="E22" s="86"/>
      <c r="F22" s="86"/>
      <c r="G22" s="86"/>
      <c r="H22" s="86"/>
      <c r="I22" s="86"/>
      <c r="J22" s="86"/>
      <c r="K22" s="8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0" customHeight="1" x14ac:dyDescent="0.35">
      <c r="A23" s="1"/>
      <c r="B23" s="103" t="s">
        <v>110</v>
      </c>
      <c r="C23" s="104"/>
      <c r="D23" s="104"/>
      <c r="E23" s="106" t="str" cm="1">
        <f t="array" ref="E23">IFERROR(_xlfn.TEXTJOIN("; ",TRUE,_xlfn._xlws.FILTER(FIXED(Kalkulator!$C$33:$C$42,2)&amp;" "&amp;Kalkulator!$B$33:$B$42,Kalkulator!$C$33:$C$42&lt;&gt;0)),"")</f>
        <v>215,53 EUR</v>
      </c>
      <c r="F23" s="104"/>
      <c r="G23" s="104"/>
      <c r="H23" s="104"/>
      <c r="I23" s="104"/>
      <c r="J23" s="104"/>
      <c r="K23" s="10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0" customHeight="1" x14ac:dyDescent="0.35">
      <c r="A24" s="1"/>
      <c r="B24" s="103" t="s">
        <v>111</v>
      </c>
      <c r="C24" s="104"/>
      <c r="D24" s="104"/>
      <c r="E24" s="106" t="str" cm="1">
        <f t="array" ref="E24">IFERROR(_xlfn.TEXTJOIN("; ",TRUE,_xlfn._xlws.FILTER(_xlfn.LET(_xlpm.w,Kalkulator!$B$33:$B$42,_xlpm.k,Kalkulator!$D$33:$D$42,_xlpm.d,_xlfn.XLOOKUP(_xlpm.w,'Kursy NBP'!$B$8:$B$17,'Kursy NBP'!$D$8:$D$17),_xlpm.n,_xlfn.XLOOKUP(_xlpm.w,'Kursy NBP'!$B$8:$B$17,'Kursy NBP'!$E$8:$E$17),"1 "&amp;_xlpm.w&amp;" = "&amp;IF(ISNUMBER(_xlpm.k),FIXED(_xlpm.k,IF(_xlpm.k&lt;0.1,6,4),TRUE),"brak kursu")&amp;" PLN (tab. "&amp;_xlpm.n&amp;" z "&amp;RIGHT("0"&amp;DAY(_xlpm.d),2)&amp;"."&amp;RIGHT("0"&amp;MONTH(_xlpm.d),2)&amp;"."&amp;YEAR(_xlpm.d)&amp;")"),Kalkulator!$C$33:$C$42&lt;&gt;0)),"")</f>
        <v>1 EUR = 4,3171 PLN (tab. 175/A/NBP/2026 z 09.09.2026)</v>
      </c>
      <c r="F24" s="104"/>
      <c r="G24" s="104"/>
      <c r="H24" s="104"/>
      <c r="I24" s="104"/>
      <c r="J24" s="104"/>
      <c r="K24" s="10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0" customHeight="1" x14ac:dyDescent="0.35">
      <c r="A25" s="1"/>
      <c r="B25" s="112" t="s">
        <v>112</v>
      </c>
      <c r="C25" s="104"/>
      <c r="D25" s="104"/>
      <c r="E25" s="107">
        <f>Kalkulator!M29</f>
        <v>930.46</v>
      </c>
      <c r="F25" s="104"/>
      <c r="G25" s="104"/>
      <c r="H25" s="104"/>
      <c r="I25" s="104"/>
      <c r="J25" s="104"/>
      <c r="K25" s="10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1"/>
      <c r="B28" s="113" t="str">
        <f>"Kurs NBP z "&amp;IF(Kalkulator!K8="w dniu daty kursu","dnia ","ostatniego dnia roboczego przed dniem ")&amp;IF(Kalkulator!K7="","-",RIGHT("0"&amp;DAY(Kalkulator!K7),2)&amp;"."&amp;RIGHT("0"&amp;MONTH(Kalkulator!K7),2)&amp;"."&amp;YEAR(Kalkulator!K7))&amp;". Dieta liczona wg §13–14 rozporządzenia, osobno dla każdego kraju."</f>
        <v>Kurs NBP z ostatniego dnia roboczego przed dniem 10.09.2026. Dieta liczona wg §13–14 rozporządzenia, osobno dla każdego kraju.</v>
      </c>
      <c r="C28" s="86"/>
      <c r="D28" s="86"/>
      <c r="E28" s="86"/>
      <c r="F28" s="86"/>
      <c r="G28" s="86"/>
      <c r="H28" s="86"/>
      <c r="I28" s="86"/>
      <c r="J28" s="86"/>
      <c r="K28" s="8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1"/>
      <c r="B29" s="113" t="str">
        <f ca="1">"Data sporządzenia: "&amp;RIGHT("0"&amp;DAY(TODAY()),2)&amp;"."&amp;RIGHT("0"&amp;MONTH(TODAY()),2)&amp;"."&amp;YEAR(TODAY())</f>
        <v>Data sporządzenia: 09.10.2026</v>
      </c>
      <c r="C29" s="86"/>
      <c r="D29" s="86"/>
      <c r="E29" s="86"/>
      <c r="F29" s="86"/>
      <c r="G29" s="86"/>
      <c r="H29" s="86"/>
      <c r="I29" s="86"/>
      <c r="J29" s="86"/>
      <c r="K29" s="8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</sheetData>
  <sheetProtection sheet="1" objects="1" scenarios="1" formatCells="0" formatColumns="0" formatRows="0"/>
  <mergeCells count="26">
    <mergeCell ref="B29:K29"/>
    <mergeCell ref="B12:D12"/>
    <mergeCell ref="B28:K28"/>
    <mergeCell ref="E11:K11"/>
    <mergeCell ref="B3:K3"/>
    <mergeCell ref="E23:K23"/>
    <mergeCell ref="E8:K8"/>
    <mergeCell ref="B22:K22"/>
    <mergeCell ref="B2:K2"/>
    <mergeCell ref="E10:K10"/>
    <mergeCell ref="B7:D7"/>
    <mergeCell ref="B14:K14"/>
    <mergeCell ref="E9:K9"/>
    <mergeCell ref="E25:K25"/>
    <mergeCell ref="B10:D10"/>
    <mergeCell ref="B4:K4"/>
    <mergeCell ref="E12:K12"/>
    <mergeCell ref="B9:D9"/>
    <mergeCell ref="E24:K24"/>
    <mergeCell ref="B24:D24"/>
    <mergeCell ref="B25:D25"/>
    <mergeCell ref="B11:D11"/>
    <mergeCell ref="B23:D23"/>
    <mergeCell ref="B8:D8"/>
    <mergeCell ref="B6:K6"/>
    <mergeCell ref="E7:K7"/>
  </mergeCells>
  <printOptions horizontalCentered="1"/>
  <pageMargins left="0.5" right="0.5" top="0.6" bottom="0.6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20"/>
  <sheetViews>
    <sheetView showGridLines="0" workbookViewId="0"/>
  </sheetViews>
  <sheetFormatPr defaultRowHeight="14.5" x14ac:dyDescent="0.35"/>
  <cols>
    <col min="1" max="1" width="1" customWidth="1"/>
    <col min="2" max="2" width="15" customWidth="1"/>
    <col min="3" max="3" width="11.453125" customWidth="1"/>
    <col min="4" max="4" width="7.453125" customWidth="1"/>
    <col min="5" max="5" width="15" customWidth="1"/>
    <col min="6" max="6" width="11.453125" customWidth="1"/>
    <col min="7" max="7" width="7.453125" customWidth="1"/>
    <col min="8" max="8" width="15" customWidth="1"/>
    <col min="9" max="9" width="14.453125" customWidth="1"/>
  </cols>
  <sheetData>
    <row r="1" spans="1:22" x14ac:dyDescent="0.35">
      <c r="A1" s="1"/>
      <c r="B1" s="143" t="str" cm="1">
        <f t="array" ref="B1">IF(Kalkulator!E1&lt;&gt;"OK","UWAGA: "&amp;Kalkulator!E1,IF(AND(Kalkulator!$K$5&lt;&gt;"",Kalkulator!$K$5&gt;Kalkulator!$D$15),"UWAGA: wyjazd z miejscowości jest po przekroczeniu granicy",IF(AND(Kalkulator!$K$6&lt;&gt;"",Kalkulator!$K$6&lt;Kalkulator!$D$20),"UWAGA: powrót do miejscowości jest przed przekroczeniem granicy",IF(COUNTIF(Kalkulator!$N$15:$N$20,"brak kursu")+COUNTIF(Kalkulator!$F$46:$F$50,"brak kursu")&gt;0,"UWAGA: brak kursu NBP dla waluty kosztu – sprawdź datę kursu",IF(SUMPRODUCT((Kalkulator!$I$15:$I$19&lt;&gt;"")*(Kalkulator!$I$15:$I$19&lt;Kalkulator!$D$15:$D$19))+SUMPRODUCT((Kalkulator!$J$15:$J$19&lt;&gt;"")*((Kalkulator!$J$15:$J$19&lt;IF(Kalkulator!$I$15:$I$19&lt;&gt;"",Kalkulator!$I$15:$I$19,Kalkulator!$D$15:$D$19))+(Kalkulator!$J$15:$J$19&gt;IF(Kalkulator!$C$16:$C$20&lt;&gt;"",Kalkulator!$D$16:$D$20,Kalkulator!$D$20))))&gt;0,"UWAGA: godziny przyjazdu/wyjazdu z miejscowości nie zgadzają się z przekroczeniami granic – zobacz czerwone pola w Kalkulatorze","")))))</f>
        <v/>
      </c>
      <c r="C1" s="86"/>
      <c r="D1" s="86"/>
      <c r="E1" s="86"/>
      <c r="F1" s="86"/>
      <c r="G1" s="86"/>
      <c r="H1" s="86"/>
      <c r="I1" s="8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4" customHeight="1" x14ac:dyDescent="0.35">
      <c r="A2" s="1"/>
      <c r="B2" s="1"/>
      <c r="C2" s="1"/>
      <c r="D2" s="1"/>
      <c r="E2" s="1"/>
      <c r="F2" s="157" t="s">
        <v>113</v>
      </c>
      <c r="G2" s="140"/>
      <c r="H2" s="140"/>
      <c r="I2" s="13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4" customHeight="1" x14ac:dyDescent="0.35">
      <c r="A3" s="1"/>
      <c r="B3" s="1"/>
      <c r="C3" s="1"/>
      <c r="D3" s="1"/>
      <c r="E3" s="1"/>
      <c r="F3" s="45"/>
      <c r="G3" s="46"/>
      <c r="H3" s="46"/>
      <c r="I3" s="4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4" customHeight="1" x14ac:dyDescent="0.35">
      <c r="A4" s="1"/>
      <c r="B4" s="1"/>
      <c r="C4" s="1"/>
      <c r="D4" s="1"/>
      <c r="E4" s="1"/>
      <c r="F4" s="48"/>
      <c r="G4" s="49"/>
      <c r="H4" s="49"/>
      <c r="I4" s="5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4" customHeight="1" x14ac:dyDescent="0.35">
      <c r="A5" s="1"/>
      <c r="B5" s="132" t="s">
        <v>114</v>
      </c>
      <c r="C5" s="86"/>
      <c r="D5" s="86"/>
      <c r="E5" s="86"/>
      <c r="F5" s="48"/>
      <c r="G5" s="49"/>
      <c r="H5" s="49"/>
      <c r="I5" s="5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6" customHeight="1" x14ac:dyDescent="0.35">
      <c r="A6" s="1"/>
      <c r="B6" s="122" t="s">
        <v>115</v>
      </c>
      <c r="C6" s="123"/>
      <c r="D6" s="123"/>
      <c r="E6" s="124"/>
      <c r="F6" s="48"/>
      <c r="G6" s="49"/>
      <c r="H6" s="49"/>
      <c r="I6" s="50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6" customHeight="1" x14ac:dyDescent="0.35">
      <c r="A7" s="1"/>
      <c r="B7" s="139" t="str">
        <f>"SŁUŻBOWEGO Nr "&amp;IF(Kalkulator!$C$8="",". . . . . . . . ",Kalkulator!$C$8)</f>
        <v>SŁUŻBOWEGO Nr 1/2026</v>
      </c>
      <c r="C7" s="126"/>
      <c r="D7" s="126"/>
      <c r="E7" s="127"/>
      <c r="F7" s="48"/>
      <c r="G7" s="49"/>
      <c r="H7" s="49"/>
      <c r="I7" s="5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1"/>
      <c r="B8" s="156" t="str">
        <f>"z dnia "&amp;IF(Kalkulator!$C$9="",". . . . . . . . . . . . . . ",RIGHT("0"&amp;DAY(Kalkulator!$C$9),2)&amp;"."&amp;RIGHT("0"&amp;MONTH(Kalkulator!$C$9),2)&amp;"."&amp;YEAR(Kalkulator!$C$9))</f>
        <v>z dnia 10.09.2026</v>
      </c>
      <c r="C8" s="126"/>
      <c r="D8" s="126"/>
      <c r="E8" s="127"/>
      <c r="F8" s="48"/>
      <c r="G8" s="49"/>
      <c r="H8" s="49"/>
      <c r="I8" s="5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0" customHeight="1" x14ac:dyDescent="0.35">
      <c r="A9" s="1"/>
      <c r="B9" s="48"/>
      <c r="C9" s="49"/>
      <c r="D9" s="49"/>
      <c r="E9" s="50"/>
      <c r="F9" s="48"/>
      <c r="G9" s="49"/>
      <c r="H9" s="49"/>
      <c r="I9" s="5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2" customHeight="1" x14ac:dyDescent="0.35">
      <c r="A10" s="1"/>
      <c r="B10" s="129" t="str">
        <f>"dla "&amp;IF(Kalkulator!$C$5="",". . . . . . . . . . . . . . . . . . . . . . . . . . . . . . . . . . . . . . . . ",Kalkulator!$C$5)</f>
        <v>dla Jan Kowalski</v>
      </c>
      <c r="C10" s="126"/>
      <c r="D10" s="126"/>
      <c r="E10" s="127"/>
      <c r="F10" s="48"/>
      <c r="G10" s="49"/>
      <c r="H10" s="49"/>
      <c r="I10" s="5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2" customHeight="1" x14ac:dyDescent="0.35">
      <c r="A11" s="1"/>
      <c r="B11" s="151" t="s">
        <v>116</v>
      </c>
      <c r="C11" s="126"/>
      <c r="D11" s="126"/>
      <c r="E11" s="127"/>
      <c r="F11" s="48"/>
      <c r="G11" s="49"/>
      <c r="H11" s="49"/>
      <c r="I11" s="5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2" customHeight="1" x14ac:dyDescent="0.35">
      <c r="A12" s="1"/>
      <c r="B12" s="129" t="str">
        <f>IF(Kalkulator!$C$6="",". . . . . . . . . . . . . . . . . . . . . . . . . . . . . . . . . . . . . . . . . . . . ",Kalkulator!$C$6)</f>
        <v>Serwisant</v>
      </c>
      <c r="C12" s="126"/>
      <c r="D12" s="126"/>
      <c r="E12" s="127"/>
      <c r="F12" s="48"/>
      <c r="G12" s="49"/>
      <c r="H12" s="49"/>
      <c r="I12" s="5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2" customHeight="1" x14ac:dyDescent="0.35">
      <c r="A13" s="1"/>
      <c r="B13" s="151" t="s">
        <v>117</v>
      </c>
      <c r="C13" s="126"/>
      <c r="D13" s="126"/>
      <c r="E13" s="127"/>
      <c r="F13" s="48"/>
      <c r="G13" s="49"/>
      <c r="H13" s="49"/>
      <c r="I13" s="5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34" customHeight="1" x14ac:dyDescent="0.35">
      <c r="A14" s="1"/>
      <c r="B14" s="154" t="str" cm="1">
        <f t="array" ref="B14">"do "&amp;IFERROR(_xlfn.TEXTJOIN(", ",TRUE,_xlfn.UNIQUE(_xlfn._xlws.FILTER(IF(Kalkulator!$H$15:$H$19&lt;&gt;"",Kalkulator!$H$15:$H$19,Kalkulator!$C$15:$C$19),Kalkulator!$C$15:$C$19&lt;&gt;""))),". . . . . . . . . . . . . . . . . . . . . . . . . . . . . . . . . . . . . . . . ")</f>
        <v>do Monachium, Linz</v>
      </c>
      <c r="C14" s="126"/>
      <c r="D14" s="126"/>
      <c r="E14" s="127"/>
      <c r="F14" s="48"/>
      <c r="G14" s="49"/>
      <c r="H14" s="49"/>
      <c r="I14" s="5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2" customHeight="1" x14ac:dyDescent="0.35">
      <c r="A15" s="1"/>
      <c r="B15" s="129" t="str">
        <f>"na czas od "&amp;IF(OR(IF(Kalkulator!$K$5="",Kalkulator!$D$15,Kalkulator!$K$5)="",IF(Kalkulator!$K$5="",Kalkulator!$D$15,Kalkulator!$K$5)=0),". . . . . . . . . . ",RIGHT("0"&amp;DAY(IF(Kalkulator!$K$5="",Kalkulator!$D$15,Kalkulator!$K$5)),2)&amp;"."&amp;RIGHT("0"&amp;MONTH(IF(Kalkulator!$K$5="",Kalkulator!$D$15,Kalkulator!$K$5)),2)&amp;"."&amp;YEAR(IF(Kalkulator!$K$5="",Kalkulator!$D$15,Kalkulator!$K$5)))&amp;" do "&amp;IF(OR(IF(Kalkulator!$K$6="",Kalkulator!$D$20,Kalkulator!$K$6)="",IF(Kalkulator!$K$6="",Kalkulator!$D$20,Kalkulator!$K$6)=0),". . . . . . . . . . ",RIGHT("0"&amp;DAY(IF(Kalkulator!$K$6="",Kalkulator!$D$20,Kalkulator!$K$6)),2)&amp;"."&amp;RIGHT("0"&amp;MONTH(IF(Kalkulator!$K$6="",Kalkulator!$D$20,Kalkulator!$K$6)),2)&amp;"."&amp;YEAR(IF(Kalkulator!$K$6="",Kalkulator!$D$20,Kalkulator!$K$6)))</f>
        <v>na czas od 14.09.2026 do 18.09.2026</v>
      </c>
      <c r="C15" s="126"/>
      <c r="D15" s="126"/>
      <c r="E15" s="127"/>
      <c r="F15" s="48"/>
      <c r="G15" s="49"/>
      <c r="H15" s="49"/>
      <c r="I15" s="5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48" customHeight="1" x14ac:dyDescent="0.35">
      <c r="A16" s="1"/>
      <c r="B16" s="138" t="str">
        <f>"w celu "&amp;IF(Kalkulator!$C$7="",". . . . . . . . . . . . . . . . . . . . . . . . . . . . . . . . . . . . . . . . ",Kalkulator!$C$7)</f>
        <v>w celu Serwis linii pakującej – klient w Monachium i Linzu</v>
      </c>
      <c r="C16" s="116"/>
      <c r="D16" s="116"/>
      <c r="E16" s="117"/>
      <c r="F16" s="48"/>
      <c r="G16" s="49"/>
      <c r="H16" s="49"/>
      <c r="I16" s="5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8" customHeight="1" x14ac:dyDescent="0.35">
      <c r="A17" s="1"/>
      <c r="B17" s="155" t="s">
        <v>118</v>
      </c>
      <c r="C17" s="123"/>
      <c r="D17" s="123"/>
      <c r="E17" s="124"/>
      <c r="F17" s="48"/>
      <c r="G17" s="49"/>
      <c r="H17" s="49"/>
      <c r="I17" s="5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8" customHeight="1" x14ac:dyDescent="0.35">
      <c r="A18" s="1"/>
      <c r="B18" s="146" t="str">
        <f>IF(Kalkulator!$C$11="",". . . . . . . . . . . . . . . . . . . . . . . . . . . . . . ",Kalkulator!$C$11)</f>
        <v>samochód służbowy</v>
      </c>
      <c r="C18" s="116"/>
      <c r="D18" s="116"/>
      <c r="E18" s="117"/>
      <c r="F18" s="48"/>
      <c r="G18" s="49"/>
      <c r="H18" s="49"/>
      <c r="I18" s="5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0" customHeight="1" x14ac:dyDescent="0.35">
      <c r="A19" s="1"/>
      <c r="B19" s="45"/>
      <c r="C19" s="46"/>
      <c r="D19" s="46"/>
      <c r="E19" s="47"/>
      <c r="F19" s="48"/>
      <c r="G19" s="49"/>
      <c r="H19" s="49"/>
      <c r="I19" s="5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0" customHeight="1" x14ac:dyDescent="0.35">
      <c r="A20" s="1"/>
      <c r="B20" s="51" t="s">
        <v>119</v>
      </c>
      <c r="C20" s="159" t="s">
        <v>120</v>
      </c>
      <c r="D20" s="126"/>
      <c r="E20" s="127"/>
      <c r="F20" s="48"/>
      <c r="G20" s="49"/>
      <c r="H20" s="49"/>
      <c r="I20" s="5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1"/>
      <c r="B21" s="52" t="s">
        <v>121</v>
      </c>
      <c r="C21" s="134" t="s">
        <v>122</v>
      </c>
      <c r="D21" s="116"/>
      <c r="E21" s="117"/>
      <c r="F21" s="53"/>
      <c r="G21" s="54"/>
      <c r="H21" s="54"/>
      <c r="I21" s="5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5">
      <c r="A23" s="56"/>
      <c r="B23" s="56"/>
      <c r="C23" s="56"/>
      <c r="D23" s="56"/>
      <c r="E23" s="56"/>
      <c r="F23" s="56"/>
      <c r="G23" s="56"/>
      <c r="H23" s="56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30" customHeight="1" x14ac:dyDescent="0.35">
      <c r="A25" s="1"/>
      <c r="B25" s="120" t="str" cm="1">
        <f t="array" ref="B25">"Proszę o wypłacenie zaliczki w kwocie zł "&amp;IF(N(Kalkulator!$K$9)=0,". . . . . . . . ",FIXED(Kalkulator!$K$9,2))&amp;" słownie zł "&amp;IF(N(Kalkulator!$K$9)=0,". . . . . . . . . . . . . . . . . . . . . . . . . . . . . . ",_xlfn.LET(_xlpm.x,ROUND(ABS(Kalkulator!$K$9),2),_xlpm.z,INT(_xlpm.x),_xlpm.g,ROUND((_xlpm.x-_xlpm.z)*100,0),_xlpm.tri,_xlfn.LAMBDA(_xlpm.v,_xlfn.LET(_xlpm.h,INT(_xlpm.v/100),_xlpm.t,INT(MOD(_xlpm.v,100)/10),_xlpm.u,MOD(_xlpm.v,10),INDEX({"","sto","dwieście","trzysta","czterysta","pięćset","sześćset","siedemset","osiemset","dziewięćset"},_xlpm.h+1)&amp;" "&amp;IF(_xlpm.t=1,INDEX({"dziesięć","jedenaście","dwanaście","trzynaście","czternaście","piętnaście","szesnaście","siedemnaście","osiemnaście","dziewiętnaście"},_xlpm.u+1),INDEX({"","","dwadzieścia","trzydzieści","czterdzieści","pięćdziesiąt","sześćdziesiąt","siedemdziesiąt","osiemdziesiąt","dziewięćdziesiąt"},_xlpm.t+1)&amp;" "&amp;INDEX({"","jeden","dwa","trzy","cztery","pięć","sześć","siedem","osiem","dziewięć"},_xlpm.u+1)))),_xlpm.grp,_xlfn.LAMBDA(_xlpm.v,_xlpm.jd,_xlpm.dw,_xlpm.wl,IF(_xlpm.v=0,"",IF(_xlpm.v=1,_xlpm.jd,_xlpm.tri(_xlpm.v)&amp;" "&amp;IF(AND(MOD(_xlpm.v,10)&gt;=2,MOD(_xlpm.v,10)&lt;=4,OR(MOD(_xlpm.v,100)&lt;10,MOD(_xlpm.v,100)&gt;20)),_xlpm.dw,_xlpm.wl)))),_xlpm.s,TRIM(_xlpm.grp(INT(_xlpm.z/10^6),"jeden milion","miliony","milionów")&amp;" "&amp;_xlpm.grp(INT(MOD(_xlpm.z,10^6)/1000),"jeden tysiąc","tysiące","tysięcy")&amp;" "&amp;_xlpm.tri(MOD(_xlpm.z,1000))),IF(_xlpm.z=0,"zero",_xlpm.s)&amp;" "&amp;RIGHT("0"&amp;_xlpm.g,2)&amp;"/100"))</f>
        <v xml:space="preserve">Proszę o wypłacenie zaliczki w kwocie zł . . . . . . . .  słownie zł . . . . . . . . . . . . . . . . . . . . . . . . . . . . . . </v>
      </c>
      <c r="C25" s="86"/>
      <c r="D25" s="86"/>
      <c r="E25" s="86"/>
      <c r="F25" s="86"/>
      <c r="G25" s="86"/>
      <c r="H25" s="86"/>
      <c r="I25" s="8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0" customHeight="1" x14ac:dyDescent="0.35">
      <c r="A26" s="1"/>
      <c r="B26" s="133" t="str">
        <f>"na pokrycie wydatków zgodnie z poleceniem wyjazdu służbowego nr "&amp;IF(Kalkulator!$C$8="",". . . . . . . . . . ",Kalkulator!$C$8)</f>
        <v>na pokrycie wydatków zgodnie z poleceniem wyjazdu służbowego nr 1/2026</v>
      </c>
      <c r="C26" s="86"/>
      <c r="D26" s="86"/>
      <c r="E26" s="86"/>
      <c r="F26" s="86"/>
      <c r="G26" s="86"/>
      <c r="H26" s="86"/>
      <c r="I26" s="8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1"/>
      <c r="B28" s="1"/>
      <c r="C28" s="1"/>
      <c r="D28" s="1"/>
      <c r="E28" s="1"/>
      <c r="F28" s="1"/>
      <c r="G28" s="1"/>
      <c r="H28" s="114" t="s">
        <v>120</v>
      </c>
      <c r="I28" s="8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1"/>
      <c r="B29" s="1"/>
      <c r="C29" s="1"/>
      <c r="D29" s="1"/>
      <c r="E29" s="1"/>
      <c r="F29" s="1"/>
      <c r="G29" s="1"/>
      <c r="H29" s="121" t="s">
        <v>123</v>
      </c>
      <c r="I29" s="8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2" customHeight="1" x14ac:dyDescent="0.35">
      <c r="A31" s="1"/>
      <c r="B31" s="133" t="s">
        <v>124</v>
      </c>
      <c r="C31" s="86"/>
      <c r="D31" s="86"/>
      <c r="E31" s="86"/>
      <c r="F31" s="86"/>
      <c r="G31" s="86"/>
      <c r="H31" s="86"/>
      <c r="I31" s="8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2" customHeight="1" x14ac:dyDescent="0.35">
      <c r="A32" s="1"/>
      <c r="B32" s="133" t="s">
        <v>125</v>
      </c>
      <c r="C32" s="86"/>
      <c r="D32" s="86"/>
      <c r="E32" s="86"/>
      <c r="F32" s="86"/>
      <c r="G32" s="86"/>
      <c r="H32" s="86"/>
      <c r="I32" s="8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6" customHeight="1" x14ac:dyDescent="0.35">
      <c r="A34" s="1"/>
      <c r="B34" s="1"/>
      <c r="C34" s="1"/>
      <c r="D34" s="1"/>
      <c r="E34" s="1"/>
      <c r="F34" s="1"/>
      <c r="G34" s="118" t="s">
        <v>126</v>
      </c>
      <c r="H34" s="119"/>
      <c r="I34" s="118" t="s">
        <v>127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6" customHeight="1" x14ac:dyDescent="0.35">
      <c r="A35" s="1"/>
      <c r="B35" s="59" t="s">
        <v>128</v>
      </c>
      <c r="C35" s="59" t="s">
        <v>129</v>
      </c>
      <c r="D35" s="59" t="s">
        <v>130</v>
      </c>
      <c r="E35" s="59" t="s">
        <v>131</v>
      </c>
      <c r="F35" s="59" t="s">
        <v>132</v>
      </c>
      <c r="G35" s="59" t="s">
        <v>133</v>
      </c>
      <c r="H35" s="59" t="s">
        <v>134</v>
      </c>
      <c r="I35" s="11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6" customHeight="1" x14ac:dyDescent="0.35">
      <c r="A36" s="1"/>
      <c r="B36" s="60"/>
      <c r="C36" s="60"/>
      <c r="D36" s="60"/>
      <c r="E36" s="60"/>
      <c r="F36" s="60"/>
      <c r="G36" s="60"/>
      <c r="H36" s="60"/>
      <c r="I36" s="6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A38" s="1"/>
      <c r="B38" s="1"/>
      <c r="C38" s="1"/>
      <c r="D38" s="1"/>
      <c r="E38" s="1"/>
      <c r="F38" s="57" t="s">
        <v>119</v>
      </c>
      <c r="G38" s="114" t="s">
        <v>135</v>
      </c>
      <c r="H38" s="86"/>
      <c r="I38" s="8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5">
      <c r="A39" s="1"/>
      <c r="B39" s="1"/>
      <c r="C39" s="1"/>
      <c r="D39" s="1"/>
      <c r="E39" s="1"/>
      <c r="F39" s="58" t="s">
        <v>121</v>
      </c>
      <c r="G39" s="121" t="s">
        <v>136</v>
      </c>
      <c r="H39" s="86"/>
      <c r="I39" s="8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5">
      <c r="A40" s="1"/>
      <c r="B40" s="1"/>
      <c r="C40" s="1"/>
      <c r="D40" s="1"/>
      <c r="E40" s="1"/>
      <c r="F40" s="1"/>
      <c r="G40" s="1"/>
      <c r="H40" s="1"/>
      <c r="I40" s="61" t="s">
        <v>137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30" customHeight="1" x14ac:dyDescent="0.35">
      <c r="A41" s="1"/>
      <c r="B41" s="141" t="s">
        <v>138</v>
      </c>
      <c r="C41" s="86"/>
      <c r="D41" s="86"/>
      <c r="E41" s="86"/>
      <c r="F41" s="86"/>
      <c r="G41" s="86"/>
      <c r="H41" s="86"/>
      <c r="I41" s="8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1"/>
      <c r="B43" s="118" t="s">
        <v>139</v>
      </c>
      <c r="C43" s="119"/>
      <c r="D43" s="119"/>
      <c r="E43" s="118" t="s">
        <v>140</v>
      </c>
      <c r="F43" s="119"/>
      <c r="G43" s="119"/>
      <c r="H43" s="118" t="s">
        <v>141</v>
      </c>
      <c r="I43" s="59" t="s">
        <v>142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5">
      <c r="A44" s="1"/>
      <c r="B44" s="59" t="s">
        <v>143</v>
      </c>
      <c r="C44" s="59" t="s">
        <v>121</v>
      </c>
      <c r="D44" s="59" t="s">
        <v>144</v>
      </c>
      <c r="E44" s="59" t="s">
        <v>143</v>
      </c>
      <c r="F44" s="59" t="s">
        <v>121</v>
      </c>
      <c r="G44" s="59" t="s">
        <v>144</v>
      </c>
      <c r="H44" s="119"/>
      <c r="I44" s="59" t="s">
        <v>145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7" customHeight="1" x14ac:dyDescent="0.35">
      <c r="A45" s="1"/>
      <c r="B45" s="62" t="str" cm="1">
        <f t="array" ref="B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>Poznań</v>
      </c>
      <c r="C45" s="63" cm="1">
        <f t="array" ref="C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>46279</v>
      </c>
      <c r="D45" s="64" cm="1">
        <f t="array" ref="D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>0.22916666665696539</v>
      </c>
      <c r="E45" s="62" t="str" cm="1">
        <f t="array" ref="E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>Monachium</v>
      </c>
      <c r="F45" s="63" cm="1">
        <f t="array" ref="F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>46279</v>
      </c>
      <c r="G45" s="64" cm="1">
        <f t="array" ref="G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>0.51041666665696539</v>
      </c>
      <c r="H45" s="62" t="str" cm="1">
        <f t="array" ref="H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>samochód służbowy</v>
      </c>
      <c r="I45" s="65" t="str" cm="1">
        <f t="array" ref="I45">_xlfn.LET(_xlpm.n,COUNTIF(Kalkulator!$C$15:$C$19,"?*"),_xlpm.i,1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7" customHeight="1" x14ac:dyDescent="0.35">
      <c r="A46" s="1"/>
      <c r="B46" s="62" t="str" cm="1">
        <f t="array" ref="B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>Monachium</v>
      </c>
      <c r="C46" s="63" cm="1">
        <f t="array" ref="C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>46281</v>
      </c>
      <c r="D46" s="64" cm="1">
        <f t="array" ref="D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>0.375</v>
      </c>
      <c r="E46" s="62" t="str" cm="1">
        <f t="array" ref="E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>Linz</v>
      </c>
      <c r="F46" s="63" cm="1">
        <f t="array" ref="F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>46281</v>
      </c>
      <c r="G46" s="64" cm="1">
        <f t="array" ref="G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>0.64583333334303461</v>
      </c>
      <c r="H46" s="62" t="str" cm="1">
        <f t="array" ref="H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>samochód służbowy</v>
      </c>
      <c r="I46" s="65" t="str" cm="1">
        <f t="array" ref="I46">_xlfn.LET(_xlpm.n,COUNTIF(Kalkulator!$C$15:$C$19,"?*"),_xlpm.i,2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7" customHeight="1" x14ac:dyDescent="0.35">
      <c r="A47" s="1"/>
      <c r="B47" s="62" t="str" cm="1">
        <f t="array" ref="B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>Linz</v>
      </c>
      <c r="C47" s="63" cm="1">
        <f t="array" ref="C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>46283</v>
      </c>
      <c r="D47" s="64" cm="1">
        <f t="array" ref="D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>0.58333333334303461</v>
      </c>
      <c r="E47" s="62" t="str" cm="1">
        <f t="array" ref="E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>Poznań</v>
      </c>
      <c r="F47" s="63" cm="1">
        <f t="array" ref="F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>46283</v>
      </c>
      <c r="G47" s="64" cm="1">
        <f t="array" ref="G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>0.91666666665696539</v>
      </c>
      <c r="H47" s="62" t="str" cm="1">
        <f t="array" ref="H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>samochód służbowy</v>
      </c>
      <c r="I47" s="65" t="str" cm="1">
        <f t="array" ref="I47">_xlfn.LET(_xlpm.n,COUNTIF(Kalkulator!$C$15:$C$19,"?*"),_xlpm.i,3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7" customHeight="1" x14ac:dyDescent="0.35">
      <c r="A48" s="1"/>
      <c r="B48" s="62" t="str" cm="1">
        <f t="array" ref="B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/>
      </c>
      <c r="C48" s="63" t="str" cm="1">
        <f t="array" ref="C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/>
      </c>
      <c r="D48" s="64" t="str" cm="1">
        <f t="array" ref="D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/>
      </c>
      <c r="E48" s="62" t="str" cm="1">
        <f t="array" ref="E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/>
      </c>
      <c r="F48" s="63" t="str" cm="1">
        <f t="array" ref="F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/>
      </c>
      <c r="G48" s="64" t="str" cm="1">
        <f t="array" ref="G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/>
      </c>
      <c r="H48" s="62" t="str" cm="1">
        <f t="array" ref="H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/>
      </c>
      <c r="I48" s="65" t="str" cm="1">
        <f t="array" ref="I48">_xlfn.LET(_xlpm.n,COUNTIF(Kalkulator!$C$15:$C$19,"?*"),_xlpm.i,4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7" customHeight="1" x14ac:dyDescent="0.35">
      <c r="A49" s="1"/>
      <c r="B49" s="62" t="str" cm="1">
        <f t="array" ref="B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/>
      </c>
      <c r="C49" s="63" t="str" cm="1">
        <f t="array" ref="C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/>
      </c>
      <c r="D49" s="64" t="str" cm="1">
        <f t="array" ref="D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/>
      </c>
      <c r="E49" s="62" t="str" cm="1">
        <f t="array" ref="E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/>
      </c>
      <c r="F49" s="63" t="str" cm="1">
        <f t="array" ref="F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/>
      </c>
      <c r="G49" s="64" t="str" cm="1">
        <f t="array" ref="G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/>
      </c>
      <c r="H49" s="62" t="str" cm="1">
        <f t="array" ref="H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/>
      </c>
      <c r="I49" s="65" t="str" cm="1">
        <f t="array" ref="I49">_xlfn.LET(_xlpm.n,COUNTIF(Kalkulator!$C$15:$C$19,"?*"),_xlpm.i,5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7" customHeight="1" x14ac:dyDescent="0.35">
      <c r="A50" s="1"/>
      <c r="B50" s="62" t="str" cm="1">
        <f t="array" ref="B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/>
      </c>
      <c r="C50" s="63" t="str" cm="1">
        <f t="array" ref="C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/>
      </c>
      <c r="D50" s="64" t="str" cm="1">
        <f t="array" ref="D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/>
      </c>
      <c r="E50" s="62" t="str" cm="1">
        <f t="array" ref="E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/>
      </c>
      <c r="F50" s="63" t="str" cm="1">
        <f t="array" ref="F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/>
      </c>
      <c r="G50" s="64" t="str" cm="1">
        <f t="array" ref="G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/>
      </c>
      <c r="H50" s="62" t="str" cm="1">
        <f t="array" ref="H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/>
      </c>
      <c r="I50" s="65" t="str" cm="1">
        <f t="array" ref="I50">_xlfn.LET(_xlpm.n,COUNTIF(Kalkulator!$C$15:$C$19,"?*"),_xlpm.i,6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7" customHeight="1" x14ac:dyDescent="0.35">
      <c r="A51" s="1"/>
      <c r="B51" s="62" t="str" cm="1">
        <f t="array" ref="B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/>
      </c>
      <c r="C51" s="63" t="str" cm="1">
        <f t="array" ref="C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/>
      </c>
      <c r="D51" s="64" t="str" cm="1">
        <f t="array" ref="D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/>
      </c>
      <c r="E51" s="62" t="str" cm="1">
        <f t="array" ref="E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/>
      </c>
      <c r="F51" s="63" t="str" cm="1">
        <f t="array" ref="F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/>
      </c>
      <c r="G51" s="64" t="str" cm="1">
        <f t="array" ref="G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/>
      </c>
      <c r="H51" s="62" t="str" cm="1">
        <f t="array" ref="H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/>
      </c>
      <c r="I51" s="65" t="str" cm="1">
        <f t="array" ref="I51">_xlfn.LET(_xlpm.n,COUNTIF(Kalkulator!$C$15:$C$19,"?*"),_xlpm.i,7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7" customHeight="1" x14ac:dyDescent="0.35">
      <c r="A52" s="1"/>
      <c r="B52" s="62" t="str" cm="1">
        <f t="array" ref="B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=1,_xlpm.dom,INDEX(_xlpm.p,_xlpm.i-1))))</f>
        <v/>
      </c>
      <c r="C52" s="63" t="str" cm="1">
        <f t="array" ref="C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INT(_xlpm.v)))</f>
        <v/>
      </c>
      <c r="D52" s="64" t="str" cm="1">
        <f t="array" ref="D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=1,_xlpm.pocz,INDEX(_xlpm.wyj,_xlpm.i-1)))),IF(_xlpm.v=0,"",MOD(_xlpm.v,1)))</f>
        <v/>
      </c>
      <c r="E52" s="62" t="str" cm="1">
        <f t="array" ref="E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F(_xlpm.i&lt;=_xlpm.n,INDEX(_xlpm.p,_xlpm.i),_xlpm.dom)))</f>
        <v/>
      </c>
      <c r="F52" s="63" t="str" cm="1">
        <f t="array" ref="F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INT(_xlpm.v)))</f>
        <v/>
      </c>
      <c r="G52" s="64" t="str" cm="1">
        <f t="array" ref="G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v,IF(_xlpm.puste,0,N(IF(_xlpm.i&lt;=_xlpm.n,INDEX(_xlpm.prz,_xlpm.i),_xlpm.kon))),IF(_xlpm.v=0,"",MOD(_xlpm.v,1)))</f>
        <v/>
      </c>
      <c r="H52" s="62" t="str" cm="1">
        <f t="array" ref="H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_xlpm.s,IF(_xlpm.puste,"",INDEX(Kalkulator!$K$15:$K$20,IF(_xlpm.i&lt;=_xlpm.n,_xlpm.i,6))&amp;""),IF(_xlpm.puste,"",IF(_xlpm.s="",Kalkulator!$C$11&amp;"",_xlpm.s)))</f>
        <v/>
      </c>
      <c r="I52" s="65" t="str" cm="1">
        <f t="array" ref="I52">_xlfn.LET(_xlpm.n,COUNTIF(Kalkulator!$C$15:$C$19,"?*"),_xlpm.i,8,_xlpm.p,IF(Kalkulator!$H$15:$H$19&lt;&gt;"",Kalkulator!$H$15:$H$19,Kalkulator!$C$15:$C$19),_xlpm.dom,IF(Kalkulator!$C$10="","Polska",Kalkulator!$C$10),_xlpm.pocz,IF(Kalkulator!$K$5="",Kalkulator!$D$15,Kalkulator!$K$5),_xlpm.kon,IF(Kalkulator!$K$6="",Kalkulator!$D$20,Kalkulator!$K$6),_xlpm.puste,OR(_xlpm.n=0,_xlpm.i&gt;_xlpm.n+1),_xlpm.prz,IF(Kalkulator!$I$15:$I$19="",Kalkulator!$D$15:$D$19,Kalkulator!$I$15:$I$19),_xlpm.wyj,IF(Kalkulator!$J$15:$J$19="",IF(Kalkulator!$C$16:$C$20&lt;&gt;"",Kalkulator!$D$16:$D$20,Kalkulator!$D$20),Kalkulator!$J$15:$J$19),IF(_xlpm.puste,"",INDEX(Kalkulator!$N$15:$N$20,IF(_xlpm.i&lt;=_xlpm.n,_xlpm.i,6))))</f>
        <v/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 customHeight="1" x14ac:dyDescent="0.35">
      <c r="A53" s="1"/>
      <c r="B53" s="135" t="s">
        <v>146</v>
      </c>
      <c r="C53" s="123"/>
      <c r="D53" s="123"/>
      <c r="E53" s="124"/>
      <c r="F53" s="130" t="s">
        <v>87</v>
      </c>
      <c r="G53" s="140"/>
      <c r="H53" s="131"/>
      <c r="I53" s="66" t="str">
        <f>IF(Kalkulator!F46="","",Kalkulator!F46)</f>
        <v/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 customHeight="1" x14ac:dyDescent="0.35">
      <c r="A54" s="1"/>
      <c r="B54" s="136"/>
      <c r="C54" s="116"/>
      <c r="D54" s="116"/>
      <c r="E54" s="117"/>
      <c r="F54" s="130" t="s">
        <v>89</v>
      </c>
      <c r="G54" s="140"/>
      <c r="H54" s="131"/>
      <c r="I54" s="66" t="str">
        <f>IF(Kalkulator!F47="","",Kalkulator!F47)</f>
        <v/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 customHeight="1" x14ac:dyDescent="0.35">
      <c r="A55" s="1"/>
      <c r="B55" s="135" t="s">
        <v>147</v>
      </c>
      <c r="C55" s="124"/>
      <c r="D55" s="137" t="s">
        <v>148</v>
      </c>
      <c r="E55" s="124"/>
      <c r="F55" s="130" t="s">
        <v>149</v>
      </c>
      <c r="G55" s="140"/>
      <c r="H55" s="131"/>
      <c r="I55" s="66">
        <f>SUM(I45:I52,I53,I54)</f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 customHeight="1" x14ac:dyDescent="0.35">
      <c r="A56" s="1"/>
      <c r="B56" s="136"/>
      <c r="C56" s="117"/>
      <c r="D56" s="136"/>
      <c r="E56" s="117"/>
      <c r="F56" s="130" t="s">
        <v>105</v>
      </c>
      <c r="G56" s="140"/>
      <c r="H56" s="131"/>
      <c r="I56" s="67">
        <f>Kalkulator!M29</f>
        <v>930.46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 customHeight="1" x14ac:dyDescent="0.35">
      <c r="A57" s="1"/>
      <c r="B57" s="45"/>
      <c r="C57" s="47"/>
      <c r="D57" s="45"/>
      <c r="E57" s="47"/>
      <c r="F57" s="130" t="s">
        <v>90</v>
      </c>
      <c r="G57" s="140"/>
      <c r="H57" s="131"/>
      <c r="I57" s="66">
        <f>IF(Kalkulator!F48="","",Kalkulator!F48)</f>
        <v>1640.5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 customHeight="1" x14ac:dyDescent="0.35">
      <c r="A58" s="1"/>
      <c r="B58" s="128" t="s">
        <v>150</v>
      </c>
      <c r="C58" s="127"/>
      <c r="D58" s="128" t="s">
        <v>150</v>
      </c>
      <c r="E58" s="127"/>
      <c r="F58" s="130" t="s">
        <v>91</v>
      </c>
      <c r="G58" s="140"/>
      <c r="H58" s="131"/>
      <c r="I58" s="66" t="str">
        <f>IF(Kalkulator!F49="","",Kalkulator!F49)</f>
        <v/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 customHeight="1" x14ac:dyDescent="0.35">
      <c r="A59" s="1"/>
      <c r="B59" s="115" t="s">
        <v>151</v>
      </c>
      <c r="C59" s="117"/>
      <c r="D59" s="115" t="s">
        <v>151</v>
      </c>
      <c r="E59" s="117"/>
      <c r="F59" s="130" t="s">
        <v>93</v>
      </c>
      <c r="G59" s="140"/>
      <c r="H59" s="131"/>
      <c r="I59" s="66" t="str">
        <f>IF(Kalkulator!F50="","",Kalkulator!F50)</f>
        <v/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7" customHeight="1" x14ac:dyDescent="0.35">
      <c r="A60" s="1"/>
      <c r="B60" s="135" t="s">
        <v>152</v>
      </c>
      <c r="C60" s="123"/>
      <c r="D60" s="123"/>
      <c r="E60" s="124"/>
      <c r="F60" s="147" t="s">
        <v>153</v>
      </c>
      <c r="G60" s="123"/>
      <c r="H60" s="124"/>
      <c r="I60" s="68">
        <f>SUM(I55,I56,I57:I59)</f>
        <v>2570.96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7" customHeight="1" x14ac:dyDescent="0.35">
      <c r="A61" s="1"/>
      <c r="B61" s="125" t="s">
        <v>154</v>
      </c>
      <c r="C61" s="126"/>
      <c r="D61" s="126"/>
      <c r="E61" s="127"/>
      <c r="F61" s="152" t="s">
        <v>155</v>
      </c>
      <c r="G61" s="126"/>
      <c r="H61" s="127"/>
      <c r="I61" s="148" t="str" cm="1">
        <f t="array" ref="I61">IF(N(I60)=0,"",_xlfn.LET(_xlpm.x,ROUND(ABS(I60),2),_xlpm.z,INT(_xlpm.x),_xlpm.g,ROUND((_xlpm.x-_xlpm.z)*100,0),_xlpm.tri,_xlfn.LAMBDA(_xlpm.v,_xlfn.LET(_xlpm.h,INT(_xlpm.v/100),_xlpm.t,INT(MOD(_xlpm.v,100)/10),_xlpm.u,MOD(_xlpm.v,10),INDEX({"","sto","dwieście","trzysta","czterysta","pięćset","sześćset","siedemset","osiemset","dziewięćset"},_xlpm.h+1)&amp;" "&amp;IF(_xlpm.t=1,INDEX({"dziesięć","jedenaście","dwanaście","trzynaście","czternaście","piętnaście","szesnaście","siedemnaście","osiemnaście","dziewiętnaście"},_xlpm.u+1),INDEX({"","","dwadzieścia","trzydzieści","czterdzieści","pięćdziesiąt","sześćdziesiąt","siedemdziesiąt","osiemdziesiąt","dziewięćdziesiąt"},_xlpm.t+1)&amp;" "&amp;INDEX({"","jeden","dwa","trzy","cztery","pięć","sześć","siedem","osiem","dziewięć"},_xlpm.u+1)))),_xlpm.grp,_xlfn.LAMBDA(_xlpm.v,_xlpm.jd,_xlpm.dw,_xlpm.wl,IF(_xlpm.v=0,"",IF(_xlpm.v=1,_xlpm.jd,_xlpm.tri(_xlpm.v)&amp;" "&amp;IF(AND(MOD(_xlpm.v,10)&gt;=2,MOD(_xlpm.v,10)&lt;=4,OR(MOD(_xlpm.v,100)&lt;10,MOD(_xlpm.v,100)&gt;20)),_xlpm.dw,_xlpm.wl)))),_xlpm.s,TRIM(_xlpm.grp(INT(_xlpm.z/10^6),"jeden milion","miliony","milionów")&amp;" "&amp;_xlpm.grp(INT(MOD(_xlpm.z,10^6)/1000),"jeden tysiąc","tysiące","tysięcy")&amp;" "&amp;_xlpm.tri(MOD(_xlpm.z,1000))),IF(_xlpm.z=0,"zero",_xlpm.s)&amp;" "&amp;IF(_xlpm.z=1,"złoty i",IF(AND(MOD(_xlpm.z,10)&gt;=2,MOD(_xlpm.z,10)&lt;=4,OR(MOD(_xlpm.z,100)&lt;10,MOD(_xlpm.z,100)&gt;20)),"złote i","złotych i"))&amp;" "&amp;RIGHT("0"&amp;_xlpm.g,2)&amp;"/100"))</f>
        <v>dwa tysiące pięćset siedemdziesiąt złotych i 96/100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7" customHeight="1" x14ac:dyDescent="0.35">
      <c r="A62" s="1"/>
      <c r="B62" s="125" t="s">
        <v>156</v>
      </c>
      <c r="C62" s="126"/>
      <c r="D62" s="126"/>
      <c r="E62" s="127"/>
      <c r="F62" s="153"/>
      <c r="G62" s="126"/>
      <c r="H62" s="127"/>
      <c r="I62" s="14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7" customHeight="1" x14ac:dyDescent="0.35">
      <c r="A63" s="1"/>
      <c r="B63" s="48"/>
      <c r="C63" s="49"/>
      <c r="D63" s="49"/>
      <c r="E63" s="50"/>
      <c r="F63" s="153"/>
      <c r="G63" s="126"/>
      <c r="H63" s="127"/>
      <c r="I63" s="14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7" customHeight="1" x14ac:dyDescent="0.35">
      <c r="A64" s="1"/>
      <c r="B64" s="128" t="s">
        <v>157</v>
      </c>
      <c r="C64" s="126"/>
      <c r="D64" s="126"/>
      <c r="E64" s="127"/>
      <c r="F64" s="153"/>
      <c r="G64" s="126"/>
      <c r="H64" s="127"/>
      <c r="I64" s="14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7" customHeight="1" x14ac:dyDescent="0.35">
      <c r="A65" s="1"/>
      <c r="B65" s="115" t="s">
        <v>158</v>
      </c>
      <c r="C65" s="116"/>
      <c r="D65" s="116"/>
      <c r="E65" s="117"/>
      <c r="F65" s="136"/>
      <c r="G65" s="116"/>
      <c r="H65" s="117"/>
      <c r="I65" s="15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7" customHeight="1" x14ac:dyDescent="0.35">
      <c r="A66" s="1"/>
      <c r="B66" s="45"/>
      <c r="C66" s="46"/>
      <c r="D66" s="46"/>
      <c r="E66" s="47"/>
      <c r="F66" s="69" t="s">
        <v>159</v>
      </c>
      <c r="G66" s="130" t="s">
        <v>160</v>
      </c>
      <c r="H66" s="131"/>
      <c r="I66" s="70" t="str">
        <f>IF(N(Kalkulator!$K$9)=0,"",Kalkulator!$K$9)</f>
        <v/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7" customHeight="1" x14ac:dyDescent="0.35">
      <c r="A67" s="1"/>
      <c r="B67" s="125" t="s">
        <v>161</v>
      </c>
      <c r="C67" s="126"/>
      <c r="D67" s="126"/>
      <c r="E67" s="127"/>
      <c r="F67" s="71" t="str">
        <f>IF(N(Kalkulator!$K$11)=0,". . . . . ",Kalkulator!$K$11)&amp;" dowodów"</f>
        <v>. . . . .  dowodów</v>
      </c>
      <c r="G67" s="130" t="s">
        <v>162</v>
      </c>
      <c r="H67" s="131"/>
      <c r="I67" s="72">
        <f>I60-N(I66)</f>
        <v>2570.96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7" customHeight="1" x14ac:dyDescent="0.35">
      <c r="A68" s="1"/>
      <c r="B68" s="125" t="s">
        <v>163</v>
      </c>
      <c r="C68" s="126"/>
      <c r="D68" s="126"/>
      <c r="E68" s="127"/>
      <c r="F68" s="142" t="s">
        <v>164</v>
      </c>
      <c r="G68" s="123"/>
      <c r="H68" s="123"/>
      <c r="I68" s="12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7" customHeight="1" x14ac:dyDescent="0.35">
      <c r="A69" s="1"/>
      <c r="B69" s="125" t="s">
        <v>156</v>
      </c>
      <c r="C69" s="126"/>
      <c r="D69" s="126"/>
      <c r="E69" s="127"/>
      <c r="F69" s="48"/>
      <c r="G69" s="49"/>
      <c r="H69" s="49"/>
      <c r="I69" s="5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7" customHeight="1" x14ac:dyDescent="0.35">
      <c r="A70" s="1"/>
      <c r="B70" s="128" t="s">
        <v>165</v>
      </c>
      <c r="C70" s="126"/>
      <c r="D70" s="126"/>
      <c r="E70" s="127"/>
      <c r="F70" s="128" t="s">
        <v>166</v>
      </c>
      <c r="G70" s="126"/>
      <c r="H70" s="144" t="s">
        <v>120</v>
      </c>
      <c r="I70" s="12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7" customHeight="1" x14ac:dyDescent="0.35">
      <c r="A71" s="1"/>
      <c r="B71" s="115" t="s">
        <v>167</v>
      </c>
      <c r="C71" s="116"/>
      <c r="D71" s="116"/>
      <c r="E71" s="117"/>
      <c r="F71" s="115" t="s">
        <v>121</v>
      </c>
      <c r="G71" s="116"/>
      <c r="H71" s="134" t="s">
        <v>168</v>
      </c>
      <c r="I71" s="11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2" customHeight="1" x14ac:dyDescent="0.35">
      <c r="A73" s="1"/>
      <c r="B73" s="158" t="str" cm="1">
        <f t="array" ref="B73">"Zaliczkę w kwocie zł "&amp;IF(N(Kalkulator!$K$9)=0,". . . . . . . . ",FIXED(Kalkulator!$K$9,2))&amp;"   słownie zł "&amp;IF(N(Kalkulator!$K$9)=0,". . . . . . . . . . . . . . . . . . . . . . . . . . . . . . ",_xlfn.LET(_xlpm.x,ROUND(ABS(Kalkulator!$K$9),2),_xlpm.z,INT(_xlpm.x),_xlpm.g,ROUND((_xlpm.x-_xlpm.z)*100,0),_xlpm.tri,_xlfn.LAMBDA(_xlpm.v,_xlfn.LET(_xlpm.h,INT(_xlpm.v/100),_xlpm.t,INT(MOD(_xlpm.v,100)/10),_xlpm.u,MOD(_xlpm.v,10),INDEX({"","sto","dwieście","trzysta","czterysta","pięćset","sześćset","siedemset","osiemset","dziewięćset"},_xlpm.h+1)&amp;" "&amp;IF(_xlpm.t=1,INDEX({"dziesięć","jedenaście","dwanaście","trzynaście","czternaście","piętnaście","szesnaście","siedemnaście","osiemnaście","dziewiętnaście"},_xlpm.u+1),INDEX({"","","dwadzieścia","trzydzieści","czterdzieści","pięćdziesiąt","sześćdziesiąt","siedemdziesiąt","osiemdziesiąt","dziewięćdziesiąt"},_xlpm.t+1)&amp;" "&amp;INDEX({"","jeden","dwa","trzy","cztery","pięć","sześć","siedem","osiem","dziewięć"},_xlpm.u+1)))),_xlpm.grp,_xlfn.LAMBDA(_xlpm.v,_xlpm.jd,_xlpm.dw,_xlpm.wl,IF(_xlpm.v=0,"",IF(_xlpm.v=1,_xlpm.jd,_xlpm.tri(_xlpm.v)&amp;" "&amp;IF(AND(MOD(_xlpm.v,10)&gt;=2,MOD(_xlpm.v,10)&lt;=4,OR(MOD(_xlpm.v,100)&lt;10,MOD(_xlpm.v,100)&gt;20)),_xlpm.dw,_xlpm.wl)))),_xlpm.s,TRIM(_xlpm.grp(INT(_xlpm.z/10^6),"jeden milion","miliony","milionów")&amp;" "&amp;_xlpm.grp(INT(MOD(_xlpm.z,10^6)/1000),"jeden tysiąc","tysiące","tysięcy")&amp;" "&amp;_xlpm.tri(MOD(_xlpm.z,1000))),IF(_xlpm.z=0,"zero",_xlpm.s)&amp;" "&amp;RIGHT("0"&amp;_xlpm.g,2)&amp;"/100"))&amp;"   otrzymałem i zobowiązuję się rozliczyć z niej w terminie "&amp;IF(N(Kalkulator!$K$10)=0,". . . .",Kalkulator!$K$10)&amp;" dni po zakończeniu podróży, upoważniając równocześnie zakład pracy do potrącenia kwoty nierozliczonej zaliczki z najbliższej wypłaty wynagrodzenia."</f>
        <v>Zaliczkę w kwocie zł . . . . . . . .    słownie zł . . . . . . . . . . . . . . . . . . . . . . . . . . . . . .    otrzymałem i zobowiązuję się rozliczyć z niej w terminie . . . . dni po zakończeniu podróży, upoważniając równocześnie zakład pracy do potrącenia kwoty nierozliczonej zaliczki z najbliższej wypłaty wynagrodzenia.</v>
      </c>
      <c r="C73" s="86"/>
      <c r="D73" s="86"/>
      <c r="E73" s="86"/>
      <c r="F73" s="86"/>
      <c r="G73" s="86"/>
      <c r="H73" s="86"/>
      <c r="I73" s="8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2" customHeight="1" x14ac:dyDescent="0.35">
      <c r="A74" s="1"/>
      <c r="B74" s="86"/>
      <c r="C74" s="86"/>
      <c r="D74" s="86"/>
      <c r="E74" s="86"/>
      <c r="F74" s="86"/>
      <c r="G74" s="86"/>
      <c r="H74" s="86"/>
      <c r="I74" s="8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8" customHeight="1" x14ac:dyDescent="0.35">
      <c r="A76" s="1"/>
      <c r="B76" s="114" t="str">
        <f>IF(Kalkulator!$C$5="",". . . . . . . . . . . . . . . . . . . . . . . . ",Kalkulator!$C$5)</f>
        <v>Jan Kowalski</v>
      </c>
      <c r="C76" s="86"/>
      <c r="D76" s="86"/>
      <c r="E76" s="1"/>
      <c r="F76" s="1"/>
      <c r="G76" s="114" t="s">
        <v>169</v>
      </c>
      <c r="H76" s="86"/>
      <c r="I76" s="8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5">
      <c r="A77" s="1"/>
      <c r="B77" s="121" t="s">
        <v>170</v>
      </c>
      <c r="C77" s="86"/>
      <c r="D77" s="86"/>
      <c r="E77" s="1"/>
      <c r="F77" s="1"/>
      <c r="G77" s="121" t="s">
        <v>171</v>
      </c>
      <c r="H77" s="86"/>
      <c r="I77" s="8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5">
      <c r="A79" s="1"/>
      <c r="B79" s="145" t="s">
        <v>172</v>
      </c>
      <c r="C79" s="86"/>
      <c r="D79" s="86"/>
      <c r="E79" s="86"/>
      <c r="F79" s="86"/>
      <c r="G79" s="86"/>
      <c r="H79" s="86"/>
      <c r="I79" s="8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5">
      <c r="A80" s="1"/>
      <c r="B80" s="86"/>
      <c r="C80" s="86"/>
      <c r="D80" s="86"/>
      <c r="E80" s="86"/>
      <c r="F80" s="86"/>
      <c r="G80" s="86"/>
      <c r="H80" s="86"/>
      <c r="I80" s="8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5">
      <c r="A82" s="1"/>
      <c r="B82" s="1"/>
      <c r="C82" s="1"/>
      <c r="D82" s="1"/>
      <c r="E82" s="1"/>
      <c r="F82" s="1"/>
      <c r="G82" s="1"/>
      <c r="H82" s="1"/>
      <c r="I82" s="61" t="s">
        <v>173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</sheetData>
  <sheetProtection sheet="1" objects="1" scenarios="1" formatCells="0" formatColumns="0" formatRows="0"/>
  <mergeCells count="71">
    <mergeCell ref="F2:I2"/>
    <mergeCell ref="H71:I71"/>
    <mergeCell ref="G39:I39"/>
    <mergeCell ref="B73:I74"/>
    <mergeCell ref="B43:D43"/>
    <mergeCell ref="B10:E10"/>
    <mergeCell ref="C20:E20"/>
    <mergeCell ref="B32:I32"/>
    <mergeCell ref="B26:I26"/>
    <mergeCell ref="F71:G71"/>
    <mergeCell ref="B14:E14"/>
    <mergeCell ref="B60:E60"/>
    <mergeCell ref="B67:E67"/>
    <mergeCell ref="G77:I77"/>
    <mergeCell ref="B17:E17"/>
    <mergeCell ref="F54:H54"/>
    <mergeCell ref="B61:E61"/>
    <mergeCell ref="B77:D77"/>
    <mergeCell ref="B69:E69"/>
    <mergeCell ref="B1:I1"/>
    <mergeCell ref="F70:G70"/>
    <mergeCell ref="H70:I70"/>
    <mergeCell ref="G76:I76"/>
    <mergeCell ref="B79:I80"/>
    <mergeCell ref="B53:E54"/>
    <mergeCell ref="B18:E18"/>
    <mergeCell ref="G34:H34"/>
    <mergeCell ref="B71:E71"/>
    <mergeCell ref="B76:D76"/>
    <mergeCell ref="F60:H60"/>
    <mergeCell ref="B12:E12"/>
    <mergeCell ref="F57:H57"/>
    <mergeCell ref="B70:E70"/>
    <mergeCell ref="I61:I65"/>
    <mergeCell ref="B11:E11"/>
    <mergeCell ref="B5:E5"/>
    <mergeCell ref="B31:I31"/>
    <mergeCell ref="C21:E21"/>
    <mergeCell ref="B58:C58"/>
    <mergeCell ref="B55:C56"/>
    <mergeCell ref="D55:E56"/>
    <mergeCell ref="B16:E16"/>
    <mergeCell ref="B7:E7"/>
    <mergeCell ref="F56:H56"/>
    <mergeCell ref="F58:H58"/>
    <mergeCell ref="B41:I41"/>
    <mergeCell ref="F55:H55"/>
    <mergeCell ref="H28:I28"/>
    <mergeCell ref="F53:H53"/>
    <mergeCell ref="E43:G43"/>
    <mergeCell ref="I34:I35"/>
    <mergeCell ref="B6:E6"/>
    <mergeCell ref="B68:E68"/>
    <mergeCell ref="B64:E64"/>
    <mergeCell ref="B15:E15"/>
    <mergeCell ref="G67:H67"/>
    <mergeCell ref="B62:E62"/>
    <mergeCell ref="G66:H66"/>
    <mergeCell ref="F68:I68"/>
    <mergeCell ref="F61:H65"/>
    <mergeCell ref="F59:H59"/>
    <mergeCell ref="D58:E58"/>
    <mergeCell ref="B8:E8"/>
    <mergeCell ref="B13:E13"/>
    <mergeCell ref="G38:I38"/>
    <mergeCell ref="B65:E65"/>
    <mergeCell ref="H43:H44"/>
    <mergeCell ref="B25:I25"/>
    <mergeCell ref="H29:I29"/>
    <mergeCell ref="B59:C59"/>
    <mergeCell ref="D59:E59"/>
  </mergeCells>
  <printOptions horizontalCentered="1"/>
  <pageMargins left="0.4" right="0.4" top="0.5" bottom="0.4" header="0.5" footer="0.5"/>
  <pageSetup paperSize="9" scale="84" orientation="portrait"/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20"/>
  <sheetViews>
    <sheetView showGridLines="0" workbookViewId="0"/>
  </sheetViews>
  <sheetFormatPr defaultRowHeight="14.5" x14ac:dyDescent="0.35"/>
  <cols>
    <col min="1" max="1" width="2" customWidth="1"/>
    <col min="2" max="2" width="120" customWidth="1"/>
  </cols>
  <sheetData>
    <row r="1" spans="1:22" ht="20" x14ac:dyDescent="0.4">
      <c r="A1" s="1"/>
      <c r="B1" s="2" t="s">
        <v>174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5">
      <c r="A2" s="1"/>
      <c r="B2" s="4" t="s">
        <v>175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 t="s">
        <v>176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 s="1"/>
      <c r="B5" s="1" t="s">
        <v>177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 s="1"/>
      <c r="B6" s="1" t="s">
        <v>178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s="1"/>
      <c r="B7" s="1" t="s">
        <v>179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1"/>
      <c r="B8" s="1" t="s">
        <v>180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 s="1"/>
      <c r="B9" s="1" t="s">
        <v>181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 s="1"/>
      <c r="B10" s="1" t="s">
        <v>182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 s="1"/>
      <c r="B11" s="1" t="s">
        <v>183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s="1"/>
      <c r="B12" s="1" t="s">
        <v>184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 s="1"/>
      <c r="B13" s="1" t="s">
        <v>185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5">
      <c r="A14" s="1"/>
      <c r="B14" s="1" t="s">
        <v>186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5">
      <c r="A15" s="1"/>
      <c r="B15" s="1" t="s">
        <v>187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5">
      <c r="A16" s="1"/>
      <c r="B16" s="1" t="s">
        <v>188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5">
      <c r="A17" s="1"/>
      <c r="B17" s="1" t="s">
        <v>189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5">
      <c r="A19" s="1"/>
      <c r="B19" s="73" t="s">
        <v>190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5">
      <c r="A20" s="1"/>
      <c r="B20" s="1" t="s">
        <v>191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1"/>
      <c r="B21" s="1" t="s">
        <v>192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5">
      <c r="A22" s="1"/>
      <c r="B22" s="1" t="s">
        <v>193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5">
      <c r="A23" s="1"/>
      <c r="B23" s="1" t="s">
        <v>194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1"/>
      <c r="B25" s="73" t="s">
        <v>195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4" t="s">
        <v>196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</sheetData>
  <sheetProtection sheet="1" objects="1" scenarios="1" formatCells="0" formatColumns="0" formatRows="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20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" customWidth="1"/>
    <col min="2" max="2" width="37.7265625" customWidth="1"/>
    <col min="3" max="4" width="13" customWidth="1"/>
    <col min="5" max="5" width="15.453125" customWidth="1"/>
    <col min="6" max="7" width="14" customWidth="1"/>
    <col min="8" max="8" width="15.453125" customWidth="1"/>
    <col min="9" max="9" width="15" customWidth="1"/>
    <col min="10" max="12" width="13" customWidth="1"/>
    <col min="14" max="14" width="13" hidden="1" customWidth="1"/>
  </cols>
  <sheetData>
    <row r="1" spans="1:22" ht="20" x14ac:dyDescent="0.4">
      <c r="A1" s="1"/>
      <c r="B1" s="2" t="s">
        <v>197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0" customHeight="1" x14ac:dyDescent="0.35">
      <c r="A3" s="1"/>
      <c r="B3" s="10" t="s">
        <v>198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 t="s">
        <v>199</v>
      </c>
      <c r="C4" s="74">
        <f>IF(Kalkulator!K7="","",Kalkulator!K7)</f>
        <v>46275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 s="1"/>
      <c r="B5" s="1" t="s">
        <v>200</v>
      </c>
      <c r="C5" s="75">
        <f>IF(C4="","",C4-IF(Kalkulator!K8="w dniu daty kursu",0,1))</f>
        <v>46274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42" customHeight="1" x14ac:dyDescent="0.35">
      <c r="A7" s="1"/>
      <c r="B7" s="16" t="s">
        <v>44</v>
      </c>
      <c r="C7" s="16" t="s">
        <v>201</v>
      </c>
      <c r="D7" s="16" t="s">
        <v>202</v>
      </c>
      <c r="E7" s="16" t="s">
        <v>203</v>
      </c>
      <c r="F7" s="16" t="s">
        <v>204</v>
      </c>
      <c r="G7" s="16" t="s">
        <v>205</v>
      </c>
      <c r="H7" s="16" t="s">
        <v>206</v>
      </c>
      <c r="I7" s="16" t="s">
        <v>207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1"/>
      <c r="B8" s="28" t="s">
        <v>73</v>
      </c>
      <c r="C8" s="76">
        <f>IF(F8&lt;&gt;"",F8,IF(N8="","",IFERROR(_xlfn.NUMBERVALUE(_xlfn.TEXTBEFORE(_xlfn.TEXTAFTER(N8,"&lt;Mid&gt;",-1),"&lt;/Mid&gt;"),"."),"brak kursu")))</f>
        <v>4.3170999999999999</v>
      </c>
      <c r="D8" s="75">
        <f>IF(F8&lt;&gt;"",IF(G8="","",G8),IF(N8="","",IFERROR(_xlfn.LET(_xlpm.s,_xlfn.TEXTBEFORE(_xlfn.TEXTAFTER(N8,"&lt;EffectiveDate&gt;",-1),"&lt;/EffectiveDate&gt;"),DATE(LEFT(_xlpm.s,4),MID(_xlpm.s,6,2),RIGHT(_xlpm.s,2))),"-")))</f>
        <v>46274</v>
      </c>
      <c r="E8" s="28" t="str">
        <f>IF(F8&lt;&gt;"",H8,IF(N8="","",IFERROR(_xlfn.TEXTBEFORE(_xlfn.TEXTAFTER(N8,"&lt;No&gt;",-1),"&lt;/No&gt;"),"-")))</f>
        <v>175/A/NBP/2026</v>
      </c>
      <c r="F8" s="77"/>
      <c r="G8" s="78"/>
      <c r="H8" s="79"/>
      <c r="I8" s="28" t="str">
        <f>IF(F8&lt;&gt;"","wpisany ręcznie",IF(ISNUMBER(C8),"NBP",""))</f>
        <v>NBP</v>
      </c>
      <c r="J8" s="1"/>
      <c r="K8" s="37" t="s">
        <v>208</v>
      </c>
      <c r="L8" s="1"/>
      <c r="M8" s="1"/>
      <c r="N8" s="1" t="str">
        <f>IF($C$5="","",IFERROR(_xlfn.WEBSERVICE("https://api.nbp.pl/api/exchangerates/rates/A/"&amp;B8&amp;"/"&amp;YEAR(($C$5-14))&amp;"-"&amp;RIGHT("0"&amp;MONTH(($C$5-14)),2)&amp;"-"&amp;RIGHT("0"&amp;DAY(($C$5-14)),2)&amp;"/"&amp;YEAR($C$5)&amp;"-"&amp;RIGHT("0"&amp;MONTH($C$5),2)&amp;"-"&amp;RIGHT("0"&amp;DAY($C$5),2)&amp;"/?format=xml"),"BLAD"))</f>
        <v>&lt;?xml version="1.0" encoding="utf-8"?&gt;&lt;ExchangeRatesSeries xmlns:xsd="http://www.w3.org/2001/XMLSchema" xmlns:xsi="http://www.w3.org/2001/XMLSchema-instance"&gt;&lt;Table&gt;A&lt;/Table&gt;&lt;Currency&gt;euro&lt;/Currency&gt;&lt;Code&gt;EUR&lt;/Code&gt;&lt;Rates&gt;&lt;Rate&gt;&lt;No&gt;165/A/NBP/2026&lt;/No&gt;&lt;EffectiveDate&gt;2026-08-26&lt;/EffectiveDate&gt;&lt;Mid&gt;4.3014&lt;/Mid&gt;&lt;/Rate&gt;&lt;Rate&gt;&lt;No&gt;166/A/NBP/2026&lt;/No&gt;&lt;EffectiveDate&gt;2026-08-27&lt;/EffectiveDate&gt;&lt;Mid&gt;4.3274&lt;/Mid&gt;&lt;/Rate&gt;&lt;Rate&gt;&lt;No&gt;167/A/NBP/2026&lt;/No&gt;&lt;EffectiveDate&gt;2026-08-28&lt;/EffectiveDate&gt;&lt;Mid&gt;4.3328&lt;/Mid&gt;&lt;/Rate&gt;&lt;Rate&gt;&lt;No&gt;168/A/NBP/2026&lt;/No&gt;&lt;EffectiveDate&gt;2026-08-31&lt;/EffectiveDate&gt;&lt;Mid&gt;4.3264&lt;/Mid&gt;&lt;/Rate&gt;&lt;Rate&gt;&lt;No&gt;169/A/NBP/2026&lt;/No&gt;&lt;EffectiveDate&gt;2026-09-01&lt;/EffectiveDate&gt;&lt;Mid&gt;4.3328&lt;/Mid&gt;&lt;/Rate&gt;&lt;Rate&gt;&lt;No&gt;170/A/NBP/2026&lt;/No&gt;&lt;EffectiveDate&gt;2026-09-02&lt;/EffectiveDate&gt;&lt;Mid&gt;4.3311&lt;/Mid&gt;&lt;/Rate&gt;&lt;Rate&gt;&lt;No&gt;171/A/NBP/2026&lt;/No&gt;&lt;EffectiveDate&gt;2026-09-03&lt;/EffectiveDate&gt;&lt;Mid&gt;4.3211&lt;/Mid&gt;&lt;/Rate&gt;&lt;Rate&gt;&lt;No&gt;172/A/NBP/2026&lt;/No&gt;&lt;EffectiveDate&gt;2026-09-04&lt;/EffectiveDate&gt;&lt;Mid&gt;4.3179&lt;/Mid&gt;&lt;/Rate&gt;&lt;Rate&gt;&lt;No&gt;173/A/NBP/2026&lt;/No&gt;&lt;EffectiveDate&gt;2026-09-07&lt;/EffectiveDate&gt;&lt;Mid&gt;4.3100&lt;/Mid&gt;&lt;/Rate&gt;&lt;Rate&gt;&lt;No&gt;174/A/NBP/2026&lt;/No&gt;&lt;EffectiveDate&gt;2026-09-08&lt;/EffectiveDate&gt;&lt;Mid&gt;4.3155&lt;/Mid&gt;&lt;/Rate&gt;&lt;Rate&gt;&lt;No&gt;175/A/NBP/2026&lt;/No&gt;&lt;EffectiveDate&gt;2026-09-09&lt;/EffectiveDate&gt;&lt;Mid&gt;4.3171&lt;/Mid&gt;&lt;/Rate&gt;&lt;/Rates&gt;&lt;/ExchangeRatesSeries&gt;</v>
      </c>
      <c r="O8" s="1"/>
      <c r="P8" s="1"/>
      <c r="Q8" s="1"/>
      <c r="R8" s="1"/>
      <c r="S8" s="1"/>
      <c r="T8" s="1"/>
      <c r="U8" s="1"/>
      <c r="V8" s="1"/>
    </row>
    <row r="9" spans="1:22" x14ac:dyDescent="0.35">
      <c r="A9" s="1"/>
      <c r="B9" s="28" t="s">
        <v>74</v>
      </c>
      <c r="C9" s="76">
        <f>IF(F9&lt;&gt;"",F9,IF(N9="","",IFERROR(_xlfn.NUMBERVALUE(_xlfn.TEXTBEFORE(_xlfn.TEXTAFTER(N9,"&lt;Mid&gt;",-1),"&lt;/Mid&gt;"),"."),"brak kursu")))</f>
        <v>3.7111000000000001</v>
      </c>
      <c r="D9" s="75">
        <f>IF(F9&lt;&gt;"",IF(G9="","",G9),IF(N9="","",IFERROR(_xlfn.LET(_xlpm.s,_xlfn.TEXTBEFORE(_xlfn.TEXTAFTER(N9,"&lt;EffectiveDate&gt;",-1),"&lt;/EffectiveDate&gt;"),DATE(LEFT(_xlpm.s,4),MID(_xlpm.s,6,2),RIGHT(_xlpm.s,2))),"-")))</f>
        <v>46274</v>
      </c>
      <c r="E9" s="28" t="str">
        <f>IF(F9&lt;&gt;"",H9,IF(N9="","",IFERROR(_xlfn.TEXTBEFORE(_xlfn.TEXTAFTER(N9,"&lt;No&gt;",-1),"&lt;/No&gt;"),"-")))</f>
        <v>175/A/NBP/2026</v>
      </c>
      <c r="F9" s="77"/>
      <c r="G9" s="78"/>
      <c r="H9" s="79"/>
      <c r="I9" s="28" t="str">
        <f>IF(F9&lt;&gt;"","wpisany ręcznie",IF(ISNUMBER(C9),"NBP",""))</f>
        <v>NBP</v>
      </c>
      <c r="J9" s="1"/>
      <c r="K9" s="37" t="s">
        <v>209</v>
      </c>
      <c r="L9" s="1"/>
      <c r="M9" s="1"/>
      <c r="N9" s="1" t="str">
        <f>IF($C$5="","",IFERROR(_xlfn.WEBSERVICE("https://api.nbp.pl/api/exchangerates/rates/A/"&amp;B9&amp;"/"&amp;YEAR(($C$5-14))&amp;"-"&amp;RIGHT("0"&amp;MONTH(($C$5-14)),2)&amp;"-"&amp;RIGHT("0"&amp;DAY(($C$5-14)),2)&amp;"/"&amp;YEAR($C$5)&amp;"-"&amp;RIGHT("0"&amp;MONTH($C$5),2)&amp;"-"&amp;RIGHT("0"&amp;DAY($C$5),2)&amp;"/?format=xml"),"BLAD"))</f>
        <v>&lt;?xml version="1.0" encoding="utf-8"?&gt;&lt;ExchangeRatesSeries xmlns:xsd="http://www.w3.org/2001/XMLSchema" xmlns:xsi="http://www.w3.org/2001/XMLSchema-instance"&gt;&lt;Table&gt;A&lt;/Table&gt;&lt;Currency&gt;dolar amerykański&lt;/Currency&gt;&lt;Code&gt;USD&lt;/Code&gt;&lt;Rates&gt;&lt;Rate&gt;&lt;No&gt;165/A/NBP/2026&lt;/No&gt;&lt;EffectiveDate&gt;2026-08-26&lt;/EffectiveDate&gt;&lt;Mid&gt;3.6852&lt;/Mid&gt;&lt;/Rate&gt;&lt;Rate&gt;&lt;No&gt;166/A/NBP/2026&lt;/No&gt;&lt;EffectiveDate&gt;2026-08-27&lt;/EffectiveDate&gt;&lt;Mid&gt;3.7151&lt;/Mid&gt;&lt;/Rate&gt;&lt;Rate&gt;&lt;No&gt;167/A/NBP/2026&lt;/No&gt;&lt;EffectiveDate&gt;2026-08-28&lt;/EffectiveDate&gt;&lt;Mid&gt;3.7209&lt;/Mid&gt;&lt;/Rate&gt;&lt;Rate&gt;&lt;No&gt;168/A/NBP/2026&lt;/No&gt;&lt;EffectiveDate&gt;2026-08-31&lt;/EffectiveDate&gt;&lt;Mid&gt;3.7314&lt;/Mid&gt;&lt;/Rate&gt;&lt;Rate&gt;&lt;No&gt;169/A/NBP/2026&lt;/No&gt;&lt;EffectiveDate&gt;2026-09-01&lt;/EffectiveDate&gt;&lt;Mid&gt;3.7371&lt;/Mid&gt;&lt;/Rate&gt;&lt;Rate&gt;&lt;No&gt;170/A/NBP/2026&lt;/No&gt;&lt;EffectiveDate&gt;2026-09-02&lt;/EffectiveDate&gt;&lt;Mid&gt;3.7423&lt;/Mid&gt;&lt;/Rate&gt;&lt;Rate&gt;&lt;No&gt;171/A/NBP/2026&lt;/No&gt;&lt;EffectiveDate&gt;2026-09-03&lt;/EffectiveDate&gt;&lt;Mid&gt;3.7224&lt;/Mid&gt;&lt;/Rate&gt;&lt;Rate&gt;&lt;No&gt;172/A/NBP/2026&lt;/No&gt;&lt;EffectiveDate&gt;2026-09-04&lt;/EffectiveDate&gt;&lt;Mid&gt;3.7145&lt;/Mid&gt;&lt;/Rate&gt;&lt;Rate&gt;&lt;No&gt;173/A/NBP/2026&lt;/No&gt;&lt;EffectiveDate&gt;2026-09-07&lt;/EffectiveDate&gt;&lt;Mid&gt;3.7085&lt;/Mid&gt;&lt;/Rate&gt;&lt;Rate&gt;&lt;No&gt;174/A/NBP/2026&lt;/No&gt;&lt;EffectiveDate&gt;2026-09-08&lt;/EffectiveDate&gt;&lt;Mid&gt;3.7167&lt;/Mid&gt;&lt;/Rate&gt;&lt;Rate&gt;&lt;No&gt;175/A/NBP/2026&lt;/No&gt;&lt;EffectiveDate&gt;2026-09-09&lt;/EffectiveDate&gt;&lt;Mid&gt;3.7111&lt;/Mid&gt;&lt;/Rate&gt;&lt;/Rates&gt;&lt;/ExchangeRatesSeries&gt;</v>
      </c>
      <c r="O9" s="1"/>
      <c r="P9" s="1"/>
      <c r="Q9" s="1"/>
      <c r="R9" s="1"/>
      <c r="S9" s="1"/>
      <c r="T9" s="1"/>
      <c r="U9" s="1"/>
      <c r="V9" s="1"/>
    </row>
    <row r="10" spans="1:22" x14ac:dyDescent="0.35">
      <c r="A10" s="1"/>
      <c r="B10" s="28" t="s">
        <v>75</v>
      </c>
      <c r="C10" s="76">
        <f>IF(F10&lt;&gt;"",F10,IF(N10="","",IFERROR(_xlfn.NUMBERVALUE(_xlfn.TEXTBEFORE(_xlfn.TEXTAFTER(N10,"&lt;Mid&gt;",-1),"&lt;/Mid&gt;"),"."),"brak kursu")))</f>
        <v>2.6808000000000001</v>
      </c>
      <c r="D10" s="75">
        <f>IF(F10&lt;&gt;"",IF(G10="","",G10),IF(N10="","",IFERROR(_xlfn.LET(_xlpm.s,_xlfn.TEXTBEFORE(_xlfn.TEXTAFTER(N10,"&lt;EffectiveDate&gt;",-1),"&lt;/EffectiveDate&gt;"),DATE(LEFT(_xlpm.s,4),MID(_xlpm.s,6,2),RIGHT(_xlpm.s,2))),"-")))</f>
        <v>46274</v>
      </c>
      <c r="E10" s="28" t="str">
        <f>IF(F10&lt;&gt;"",H10,IF(N10="","",IFERROR(_xlfn.TEXTBEFORE(_xlfn.TEXTAFTER(N10,"&lt;No&gt;",-1),"&lt;/No&gt;"),"-")))</f>
        <v>175/A/NBP/2026</v>
      </c>
      <c r="F10" s="77"/>
      <c r="G10" s="78"/>
      <c r="H10" s="79"/>
      <c r="I10" s="28" t="str">
        <f>IF(F10&lt;&gt;"","wpisany ręcznie",IF(ISNUMBER(C10),"NBP",""))</f>
        <v>NBP</v>
      </c>
      <c r="J10" s="1"/>
      <c r="K10" s="1"/>
      <c r="L10" s="1"/>
      <c r="M10" s="1"/>
      <c r="N10" s="1" t="str">
        <f>IF($C$5="","",IFERROR(_xlfn.WEBSERVICE("https://api.nbp.pl/api/exchangerates/rates/A/"&amp;B10&amp;"/"&amp;YEAR(($C$5-14))&amp;"-"&amp;RIGHT("0"&amp;MONTH(($C$5-14)),2)&amp;"-"&amp;RIGHT("0"&amp;DAY(($C$5-14)),2)&amp;"/"&amp;YEAR($C$5)&amp;"-"&amp;RIGHT("0"&amp;MONTH($C$5),2)&amp;"-"&amp;RIGHT("0"&amp;DAY($C$5),2)&amp;"/?format=xml"),"BLAD"))</f>
        <v>&lt;?xml version="1.0" encoding="utf-8"?&gt;&lt;ExchangeRatesSeries xmlns:xsd="http://www.w3.org/2001/XMLSchema" xmlns:xsi="http://www.w3.org/2001/XMLSchema-instance"&gt;&lt;Table&gt;A&lt;/Table&gt;&lt;Currency&gt;dolar australijski&lt;/Currency&gt;&lt;Code&gt;AUD&lt;/Code&gt;&lt;Rates&gt;&lt;Rate&gt;&lt;No&gt;165/A/NBP/2026&lt;/No&gt;&lt;EffectiveDate&gt;2026-08-26&lt;/EffectiveDate&gt;&lt;Mid&gt;2.6466&lt;/Mid&gt;&lt;/Rate&gt;&lt;Rate&gt;&lt;No&gt;166/A/NBP/2026&lt;/No&gt;&lt;EffectiveDate&gt;2026-08-27&lt;/EffectiveDate&gt;&lt;Mid&gt;2.6686&lt;/Mid&gt;&lt;/Rate&gt;&lt;Rate&gt;&lt;No&gt;167/A/NBP/2026&lt;/No&gt;&lt;EffectiveDate&gt;2026-08-28&lt;/EffectiveDate&gt;&lt;Mid&gt;2.6766&lt;/Mid&gt;&lt;/Rate&gt;&lt;Rate&gt;&lt;No&gt;168/A/NBP/2026&lt;/No&gt;&lt;EffectiveDate&gt;2026-08-31&lt;/EffectiveDate&gt;&lt;Mid&gt;2.6710&lt;/Mid&gt;&lt;/Rate&gt;&lt;Rate&gt;&lt;No&gt;169/A/NBP/2026&lt;/No&gt;&lt;EffectiveDate&gt;2026-09-01&lt;/EffectiveDate&gt;&lt;Mid&gt;2.6695&lt;/Mid&gt;&lt;/Rate&gt;&lt;Rate&gt;&lt;No&gt;170/A/NBP/2026&lt;/No&gt;&lt;EffectiveDate&gt;2026-09-02&lt;/EffectiveDate&gt;&lt;Mid&gt;2.6673&lt;/Mid&gt;&lt;/Rate&gt;&lt;Rate&gt;&lt;No&gt;171/A/NBP/2026&lt;/No&gt;&lt;EffectiveDate&gt;2026-09-03&lt;/EffectiveDate&gt;&lt;Mid&gt;2.6731&lt;/Mid&gt;&lt;/Rate&gt;&lt;Rate&gt;&lt;No&gt;172/A/NBP/2026&lt;/No&gt;&lt;EffectiveDate&gt;2026-09-04&lt;/EffectiveDate&gt;&lt;Mid&gt;2.6745&lt;/Mid&gt;&lt;/Rate&gt;&lt;Rate&gt;&lt;No&gt;173/A/NBP/2026&lt;/No&gt;&lt;EffectiveDate&gt;2026-09-07&lt;/EffectiveDate&gt;&lt;Mid&gt;2.6773&lt;/Mid&gt;&lt;/Rate&gt;&lt;Rate&gt;&lt;No&gt;174/A/NBP/2026&lt;/No&gt;&lt;EffectiveDate&gt;2026-09-08&lt;/EffectiveDate&gt;&lt;Mid&gt;2.6797&lt;/Mid&gt;&lt;/Rate&gt;&lt;Rate&gt;&lt;No&gt;175/A/NBP/2026&lt;/No&gt;&lt;EffectiveDate&gt;2026-09-09&lt;/EffectiveDate&gt;&lt;Mid&gt;2.6808&lt;/Mid&gt;&lt;/Rate&gt;&lt;/Rates&gt;&lt;/ExchangeRatesSeries&gt;</v>
      </c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 s="1"/>
      <c r="B11" s="28" t="s">
        <v>76</v>
      </c>
      <c r="C11" s="76">
        <f>IF(F11&lt;&gt;"",F11,IF(N11="","",IFERROR(_xlfn.NUMBERVALUE(_xlfn.TEXTBEFORE(_xlfn.TEXTAFTER(N11,"&lt;Mid&gt;",-1),"&lt;/Mid&gt;"),"."),"brak kursu")))</f>
        <v>0.5776</v>
      </c>
      <c r="D11" s="75">
        <f>IF(F11&lt;&gt;"",IF(G11="","",G11),IF(N11="","",IFERROR(_xlfn.LET(_xlpm.s,_xlfn.TEXTBEFORE(_xlfn.TEXTAFTER(N11,"&lt;EffectiveDate&gt;",-1),"&lt;/EffectiveDate&gt;"),DATE(LEFT(_xlpm.s,4),MID(_xlpm.s,6,2),RIGHT(_xlpm.s,2))),"-")))</f>
        <v>46274</v>
      </c>
      <c r="E11" s="28" t="str">
        <f>IF(F11&lt;&gt;"",H11,IF(N11="","",IFERROR(_xlfn.TEXTBEFORE(_xlfn.TEXTAFTER(N11,"&lt;No&gt;",-1),"&lt;/No&gt;"),"-")))</f>
        <v>175/A/NBP/2026</v>
      </c>
      <c r="F11" s="77"/>
      <c r="G11" s="78"/>
      <c r="H11" s="79"/>
      <c r="I11" s="28" t="str">
        <f>IF(F11&lt;&gt;"","wpisany ręcznie",IF(ISNUMBER(C11),"NBP",""))</f>
        <v>NBP</v>
      </c>
      <c r="J11" s="1"/>
      <c r="K11" s="37" t="s">
        <v>210</v>
      </c>
      <c r="L11" s="1"/>
      <c r="M11" s="1"/>
      <c r="N11" s="1" t="str">
        <f>IF($C$5="","",IFERROR(_xlfn.WEBSERVICE("https://api.nbp.pl/api/exchangerates/rates/A/"&amp;B11&amp;"/"&amp;YEAR(($C$5-14))&amp;"-"&amp;RIGHT("0"&amp;MONTH(($C$5-14)),2)&amp;"-"&amp;RIGHT("0"&amp;DAY(($C$5-14)),2)&amp;"/"&amp;YEAR($C$5)&amp;"-"&amp;RIGHT("0"&amp;MONTH($C$5),2)&amp;"-"&amp;RIGHT("0"&amp;DAY($C$5),2)&amp;"/?format=xml"),"BLAD"))</f>
        <v>&lt;?xml version="1.0" encoding="utf-8"?&gt;&lt;ExchangeRatesSeries xmlns:xsd="http://www.w3.org/2001/XMLSchema" xmlns:xsi="http://www.w3.org/2001/XMLSchema-instance"&gt;&lt;Table&gt;A&lt;/Table&gt;&lt;Currency&gt;korona duńska&lt;/Currency&gt;&lt;Code&gt;DKK&lt;/Code&gt;&lt;Rates&gt;&lt;Rate&gt;&lt;No&gt;165/A/NBP/2026&lt;/No&gt;&lt;EffectiveDate&gt;2026-08-26&lt;/EffectiveDate&gt;&lt;Mid&gt;0.5754&lt;/Mid&gt;&lt;/Rate&gt;&lt;Rate&gt;&lt;No&gt;166/A/NBP/2026&lt;/No&gt;&lt;EffectiveDate&gt;2026-08-27&lt;/EffectiveDate&gt;&lt;Mid&gt;0.5789&lt;/Mid&gt;&lt;/Rate&gt;&lt;Rate&gt;&lt;No&gt;167/A/NBP/2026&lt;/No&gt;&lt;EffectiveDate&gt;2026-08-28&lt;/EffectiveDate&gt;&lt;Mid&gt;0.5797&lt;/Mid&gt;&lt;/Rate&gt;&lt;Rate&gt;&lt;No&gt;168/A/NBP/2026&lt;/No&gt;&lt;EffectiveDate&gt;2026-08-31&lt;/EffectiveDate&gt;&lt;Mid&gt;0.5788&lt;/Mid&gt;&lt;/Rate&gt;&lt;Rate&gt;&lt;No&gt;169/A/NBP/2026&lt;/No&gt;&lt;EffectiveDate&gt;2026-09-01&lt;/EffectiveDate&gt;&lt;Mid&gt;0.5797&lt;/Mid&gt;&lt;/Rate&gt;&lt;Rate&gt;&lt;No&gt;170/A/NBP/2026&lt;/No&gt;&lt;EffectiveDate&gt;2026-09-02&lt;/EffectiveDate&gt;&lt;Mid&gt;0.5794&lt;/Mid&gt;&lt;/Rate&gt;&lt;Rate&gt;&lt;No&gt;171/A/NBP/2026&lt;/No&gt;&lt;EffectiveDate&gt;2026-09-03&lt;/EffectiveDate&gt;&lt;Mid&gt;0.5781&lt;/Mid&gt;&lt;/Rate&gt;&lt;Rate&gt;&lt;No&gt;172/A/NBP/2026&lt;/No&gt;&lt;EffectiveDate&gt;2026-09-04&lt;/EffectiveDate&gt;&lt;Mid&gt;0.5776&lt;/Mid&gt;&lt;/Rate&gt;&lt;Rate&gt;&lt;No&gt;173/A/NBP/2026&lt;/No&gt;&lt;EffectiveDate&gt;2026-09-07&lt;/EffectiveDate&gt;&lt;Mid&gt;0.5766&lt;/Mid&gt;&lt;/Rate&gt;&lt;Rate&gt;&lt;No&gt;174/A/NBP/2026&lt;/No&gt;&lt;EffectiveDate&gt;2026-09-08&lt;/EffectiveDate&gt;&lt;Mid&gt;0.5773&lt;/Mid&gt;&lt;/Rate&gt;&lt;Rate&gt;&lt;No&gt;175/A/NBP/2026&lt;/No&gt;&lt;EffectiveDate&gt;2026-09-09&lt;/EffectiveDate&gt;&lt;Mid&gt;0.5776&lt;/Mid&gt;&lt;/Rate&gt;&lt;/Rates&gt;&lt;/ExchangeRatesSeries&gt;</v>
      </c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s="1"/>
      <c r="B12" s="28" t="s">
        <v>77</v>
      </c>
      <c r="C12" s="76">
        <f>IF(F12&lt;&gt;"",F12,IF(N12="","",IFERROR(_xlfn.NUMBERVALUE(_xlfn.TEXTBEFORE(_xlfn.TEXTAFTER(N12,"&lt;Mid&gt;",-1),"&lt;/Mid&gt;"),"."),"brak kursu")))</f>
        <v>2.4150000000000001E-2</v>
      </c>
      <c r="D12" s="75">
        <f>IF(F12&lt;&gt;"",IF(G12="","",G12),IF(N12="","",IFERROR(_xlfn.LET(_xlpm.s,_xlfn.TEXTBEFORE(_xlfn.TEXTAFTER(N12,"&lt;EffectiveDate&gt;",-1),"&lt;/EffectiveDate&gt;"),DATE(LEFT(_xlpm.s,4),MID(_xlpm.s,6,2),RIGHT(_xlpm.s,2))),"-")))</f>
        <v>46274</v>
      </c>
      <c r="E12" s="28" t="str">
        <f>IF(F12&lt;&gt;"",H12,IF(N12="","",IFERROR(_xlfn.TEXTBEFORE(_xlfn.TEXTAFTER(N12,"&lt;No&gt;",-1),"&lt;/No&gt;"),"-")))</f>
        <v>175/A/NBP/2026</v>
      </c>
      <c r="F12" s="77"/>
      <c r="G12" s="78"/>
      <c r="H12" s="79"/>
      <c r="I12" s="28" t="str">
        <f>IF(F12&lt;&gt;"","wpisany ręcznie",IF(ISNUMBER(C12),"NBP",""))</f>
        <v>NBP</v>
      </c>
      <c r="J12" s="1"/>
      <c r="K12" s="37" t="s">
        <v>211</v>
      </c>
      <c r="L12" s="1"/>
      <c r="M12" s="1"/>
      <c r="N12" s="1" t="str">
        <f>IF($C$5="","",IFERROR(_xlfn.WEBSERVICE("https://api.nbp.pl/api/exchangerates/rates/A/"&amp;B12&amp;"/"&amp;YEAR(($C$5-14))&amp;"-"&amp;RIGHT("0"&amp;MONTH(($C$5-14)),2)&amp;"-"&amp;RIGHT("0"&amp;DAY(($C$5-14)),2)&amp;"/"&amp;YEAR($C$5)&amp;"-"&amp;RIGHT("0"&amp;MONTH($C$5),2)&amp;"-"&amp;RIGHT("0"&amp;DAY($C$5),2)&amp;"/?format=xml"),"BLAD"))</f>
        <v>&lt;?xml version="1.0" encoding="utf-8"?&gt;&lt;ExchangeRatesSeries xmlns:xsd="http://www.w3.org/2001/XMLSchema" xmlns:xsi="http://www.w3.org/2001/XMLSchema-instance"&gt;&lt;Table&gt;A&lt;/Table&gt;&lt;Currency&gt;jen (Japonia)&lt;/Currency&gt;&lt;Code&gt;JPY&lt;/Code&gt;&lt;Rates&gt;&lt;Rate&gt;&lt;No&gt;165/A/NBP/2026&lt;/No&gt;&lt;EffectiveDate&gt;2026-08-26&lt;/EffectiveDate&gt;&lt;Mid&gt;0.023178&lt;/Mid&gt;&lt;/Rate&gt;&lt;Rate&gt;&lt;No&gt;166/A/NBP/2026&lt;/No&gt;&lt;EffectiveDate&gt;2026-08-27&lt;/EffectiveDate&gt;&lt;Mid&gt;0.023318&lt;/Mid&gt;&lt;/Rate&gt;&lt;Rate&gt;&lt;No&gt;167/A/NBP/2026&lt;/No&gt;&lt;EffectiveDate&gt;2026-08-28&lt;/EffectiveDate&gt;&lt;Mid&gt;0.023318&lt;/Mid&gt;&lt;/Rate&gt;&lt;Rate&gt;&lt;No&gt;168/A/NBP/2026&lt;/No&gt;&lt;EffectiveDate&gt;2026-08-31&lt;/EffectiveDate&gt;&lt;Mid&gt;0.02336&lt;/Mid&gt;&lt;/Rate&gt;&lt;Rate&gt;&lt;No&gt;169/A/NBP/2026&lt;/No&gt;&lt;EffectiveDate&gt;2026-09-01&lt;/EffectiveDate&gt;&lt;Mid&gt;0.023367&lt;/Mid&gt;&lt;/Rate&gt;&lt;Rate&gt;&lt;No&gt;170/A/NBP/2026&lt;/No&gt;&lt;EffectiveDate&gt;2026-09-02&lt;/EffectiveDate&gt;&lt;Mid&gt;0.023411&lt;/Mid&gt;&lt;/Rate&gt;&lt;Rate&gt;&lt;No&gt;171/A/NBP/2026&lt;/No&gt;&lt;EffectiveDate&gt;2026-09-03&lt;/EffectiveDate&gt;&lt;Mid&gt;0.023753&lt;/Mid&gt;&lt;/Rate&gt;&lt;Rate&gt;&lt;No&gt;172/A/NBP/2026&lt;/No&gt;&lt;EffectiveDate&gt;2026-09-04&lt;/EffectiveDate&gt;&lt;Mid&gt;0.023746&lt;/Mid&gt;&lt;/Rate&gt;&lt;Rate&gt;&lt;No&gt;173/A/NBP/2026&lt;/No&gt;&lt;EffectiveDate&gt;2026-09-07&lt;/EffectiveDate&gt;&lt;Mid&gt;0.02401&lt;/Mid&gt;&lt;/Rate&gt;&lt;Rate&gt;&lt;No&gt;174/A/NBP/2026&lt;/No&gt;&lt;EffectiveDate&gt;2026-09-08&lt;/EffectiveDate&gt;&lt;Mid&gt;0.024108&lt;/Mid&gt;&lt;/Rate&gt;&lt;Rate&gt;&lt;No&gt;175/A/NBP/2026&lt;/No&gt;&lt;EffectiveDate&gt;2026-09-09&lt;/EffectiveDate&gt;&lt;Mid&gt;0.02415&lt;/Mid&gt;&lt;/Rate&gt;&lt;/Rates&gt;&lt;/ExchangeRatesSeries&gt;</v>
      </c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 s="1"/>
      <c r="B13" s="28" t="s">
        <v>78</v>
      </c>
      <c r="C13" s="76">
        <f>IF(F13&lt;&gt;"",F13,IF(N13="","",IFERROR(_xlfn.NUMBERVALUE(_xlfn.TEXTBEFORE(_xlfn.TEXTAFTER(N13,"&lt;Mid&gt;",-1),"&lt;/Mid&gt;"),"."),"brak kursu")))</f>
        <v>2.6932999999999998</v>
      </c>
      <c r="D13" s="75">
        <f>IF(F13&lt;&gt;"",IF(G13="","",G13),IF(N13="","",IFERROR(_xlfn.LET(_xlpm.s,_xlfn.TEXTBEFORE(_xlfn.TEXTAFTER(N13,"&lt;EffectiveDate&gt;",-1),"&lt;/EffectiveDate&gt;"),DATE(LEFT(_xlpm.s,4),MID(_xlpm.s,6,2),RIGHT(_xlpm.s,2))),"-")))</f>
        <v>46274</v>
      </c>
      <c r="E13" s="28" t="str">
        <f>IF(F13&lt;&gt;"",H13,IF(N13="","",IFERROR(_xlfn.TEXTBEFORE(_xlfn.TEXTAFTER(N13,"&lt;No&gt;",-1),"&lt;/No&gt;"),"-")))</f>
        <v>175/A/NBP/2026</v>
      </c>
      <c r="F13" s="77"/>
      <c r="G13" s="78"/>
      <c r="H13" s="79"/>
      <c r="I13" s="28" t="str">
        <f>IF(F13&lt;&gt;"","wpisany ręcznie",IF(ISNUMBER(C13),"NBP",""))</f>
        <v>NBP</v>
      </c>
      <c r="J13" s="1"/>
      <c r="K13" s="37" t="s">
        <v>212</v>
      </c>
      <c r="L13" s="1"/>
      <c r="M13" s="1"/>
      <c r="N13" s="1" t="str">
        <f>IF($C$5="","",IFERROR(_xlfn.WEBSERVICE("https://api.nbp.pl/api/exchangerates/rates/A/"&amp;B13&amp;"/"&amp;YEAR(($C$5-14))&amp;"-"&amp;RIGHT("0"&amp;MONTH(($C$5-14)),2)&amp;"-"&amp;RIGHT("0"&amp;DAY(($C$5-14)),2)&amp;"/"&amp;YEAR($C$5)&amp;"-"&amp;RIGHT("0"&amp;MONTH($C$5),2)&amp;"-"&amp;RIGHT("0"&amp;DAY($C$5),2)&amp;"/?format=xml"),"BLAD"))</f>
        <v>&lt;?xml version="1.0" encoding="utf-8"?&gt;&lt;ExchangeRatesSeries xmlns:xsd="http://www.w3.org/2001/XMLSchema" xmlns:xsi="http://www.w3.org/2001/XMLSchema-instance"&gt;&lt;Table&gt;A&lt;/Table&gt;&lt;Currency&gt;dolar kanadyjski&lt;/Currency&gt;&lt;Code&gt;CAD&lt;/Code&gt;&lt;Rates&gt;&lt;Rate&gt;&lt;No&gt;165/A/NBP/2026&lt;/No&gt;&lt;EffectiveDate&gt;2026-08-26&lt;/EffectiveDate&gt;&lt;Mid&gt;2.6580&lt;/Mid&gt;&lt;/Rate&gt;&lt;Rate&gt;&lt;No&gt;166/A/NBP/2026&lt;/No&gt;&lt;EffectiveDate&gt;2026-08-27&lt;/EffectiveDate&gt;&lt;Mid&gt;2.6765&lt;/Mid&gt;&lt;/Rate&gt;&lt;Rate&gt;&lt;No&gt;167/A/NBP/2026&lt;/No&gt;&lt;EffectiveDate&gt;2026-08-28&lt;/EffectiveDate&gt;&lt;Mid&gt;2.6857&lt;/Mid&gt;&lt;/Rate&gt;&lt;Rate&gt;&lt;No&gt;168/A/NBP/2026&lt;/No&gt;&lt;EffectiveDate&gt;2026-08-31&lt;/EffectiveDate&gt;&lt;Mid&gt;2.6850&lt;/Mid&gt;&lt;/Rate&gt;&lt;Rate&gt;&lt;No&gt;169/A/NBP/2026&lt;/No&gt;&lt;EffectiveDate&gt;2026-09-01&lt;/EffectiveDate&gt;&lt;Mid&gt;2.6944&lt;/Mid&gt;&lt;/Rate&gt;&lt;Rate&gt;&lt;No&gt;170/A/NBP/2026&lt;/No&gt;&lt;EffectiveDate&gt;2026-09-02&lt;/EffectiveDate&gt;&lt;Mid&gt;2.6855&lt;/Mid&gt;&lt;/Rate&gt;&lt;Rate&gt;&lt;No&gt;171/A/NBP/2026&lt;/No&gt;&lt;EffectiveDate&gt;2026-09-03&lt;/EffectiveDate&gt;&lt;Mid&gt;2.6964&lt;/Mid&gt;&lt;/Rate&gt;&lt;Rate&gt;&lt;No&gt;172/A/NBP/2026&lt;/No&gt;&lt;EffectiveDate&gt;2026-09-04&lt;/EffectiveDate&gt;&lt;Mid&gt;2.6914&lt;/Mid&gt;&lt;/Rate&gt;&lt;Rate&gt;&lt;No&gt;173/A/NBP/2026&lt;/No&gt;&lt;EffectiveDate&gt;2026-09-07&lt;/EffectiveDate&gt;&lt;Mid&gt;2.6826&lt;/Mid&gt;&lt;/Rate&gt;&lt;Rate&gt;&lt;No&gt;174/A/NBP/2026&lt;/No&gt;&lt;EffectiveDate&gt;2026-09-08&lt;/EffectiveDate&gt;&lt;Mid&gt;2.6930&lt;/Mid&gt;&lt;/Rate&gt;&lt;Rate&gt;&lt;No&gt;175/A/NBP/2026&lt;/No&gt;&lt;EffectiveDate&gt;2026-09-09&lt;/EffectiveDate&gt;&lt;Mid&gt;2.6933&lt;/Mid&gt;&lt;/Rate&gt;&lt;/Rates&gt;&lt;/ExchangeRatesSeries&gt;</v>
      </c>
      <c r="O13" s="1"/>
      <c r="P13" s="1"/>
      <c r="Q13" s="1"/>
      <c r="R13" s="1"/>
      <c r="S13" s="1"/>
      <c r="T13" s="1"/>
      <c r="U13" s="1"/>
      <c r="V13" s="1"/>
    </row>
    <row r="14" spans="1:22" x14ac:dyDescent="0.35">
      <c r="A14" s="1"/>
      <c r="B14" s="28" t="s">
        <v>79</v>
      </c>
      <c r="C14" s="76">
        <f>IF(F14&lt;&gt;"",F14,IF(N14="","",IFERROR(_xlfn.NUMBERVALUE(_xlfn.TEXTBEFORE(_xlfn.TEXTAFTER(N14,"&lt;Mid&gt;",-1),"&lt;/Mid&gt;"),"."),"brak kursu")))</f>
        <v>0.40260000000000001</v>
      </c>
      <c r="D14" s="75">
        <f>IF(F14&lt;&gt;"",IF(G14="","",G14),IF(N14="","",IFERROR(_xlfn.LET(_xlpm.s,_xlfn.TEXTBEFORE(_xlfn.TEXTAFTER(N14,"&lt;EffectiveDate&gt;",-1),"&lt;/EffectiveDate&gt;"),DATE(LEFT(_xlpm.s,4),MID(_xlpm.s,6,2),RIGHT(_xlpm.s,2))),"-")))</f>
        <v>46274</v>
      </c>
      <c r="E14" s="28" t="str">
        <f>IF(F14&lt;&gt;"",H14,IF(N14="","",IFERROR(_xlfn.TEXTBEFORE(_xlfn.TEXTAFTER(N14,"&lt;No&gt;",-1),"&lt;/No&gt;"),"-")))</f>
        <v>175/A/NBP/2026</v>
      </c>
      <c r="F14" s="77"/>
      <c r="G14" s="78"/>
      <c r="H14" s="79"/>
      <c r="I14" s="28" t="str">
        <f>IF(F14&lt;&gt;"","wpisany ręcznie",IF(ISNUMBER(C14),"NBP",""))</f>
        <v>NBP</v>
      </c>
      <c r="J14" s="1"/>
      <c r="K14" s="1"/>
      <c r="L14" s="1"/>
      <c r="M14" s="1"/>
      <c r="N14" s="1" t="str">
        <f>IF($C$5="","",IFERROR(_xlfn.WEBSERVICE("https://api.nbp.pl/api/exchangerates/rates/A/"&amp;B14&amp;"/"&amp;YEAR(($C$5-14))&amp;"-"&amp;RIGHT("0"&amp;MONTH(($C$5-14)),2)&amp;"-"&amp;RIGHT("0"&amp;DAY(($C$5-14)),2)&amp;"/"&amp;YEAR($C$5)&amp;"-"&amp;RIGHT("0"&amp;MONTH($C$5),2)&amp;"-"&amp;RIGHT("0"&amp;DAY($C$5),2)&amp;"/?format=xml"),"BLAD"))</f>
        <v>&lt;?xml version="1.0" encoding="utf-8"?&gt;&lt;ExchangeRatesSeries xmlns:xsd="http://www.w3.org/2001/XMLSchema" xmlns:xsi="http://www.w3.org/2001/XMLSchema-instance"&gt;&lt;Table&gt;A&lt;/Table&gt;&lt;Currency&gt;korona norweska&lt;/Currency&gt;&lt;Code&gt;NOK&lt;/Code&gt;&lt;Rates&gt;&lt;Rate&gt;&lt;No&gt;165/A/NBP/2026&lt;/No&gt;&lt;EffectiveDate&gt;2026-08-26&lt;/EffectiveDate&gt;&lt;Mid&gt;0.3942&lt;/Mid&gt;&lt;/Rate&gt;&lt;Rate&gt;&lt;No&gt;166/A/NBP/2026&lt;/No&gt;&lt;EffectiveDate&gt;2026-08-27&lt;/EffectiveDate&gt;&lt;Mid&gt;0.3967&lt;/Mid&gt;&lt;/Rate&gt;&lt;Rate&gt;&lt;No&gt;167/A/NBP/2026&lt;/No&gt;&lt;EffectiveDate&gt;2026-08-28&lt;/EffectiveDate&gt;&lt;Mid&gt;0.3994&lt;/Mid&gt;&lt;/Rate&gt;&lt;Rate&gt;&lt;No&gt;168/A/NBP/2026&lt;/No&gt;&lt;EffectiveDate&gt;2026-08-31&lt;/EffectiveDate&gt;&lt;Mid&gt;0.3987&lt;/Mid&gt;&lt;/Rate&gt;&lt;Rate&gt;&lt;No&gt;169/A/NBP/2026&lt;/No&gt;&lt;EffectiveDate&gt;2026-09-01&lt;/EffectiveDate&gt;&lt;Mid&gt;0.4002&lt;/Mid&gt;&lt;/Rate&gt;&lt;Rate&gt;&lt;No&gt;170/A/NBP/2026&lt;/No&gt;&lt;EffectiveDate&gt;2026-09-02&lt;/EffectiveDate&gt;&lt;Mid&gt;0.4008&lt;/Mid&gt;&lt;/Rate&gt;&lt;Rate&gt;&lt;No&gt;171/A/NBP/2026&lt;/No&gt;&lt;EffectiveDate&gt;2026-09-03&lt;/EffectiveDate&gt;&lt;Mid&gt;0.3993&lt;/Mid&gt;&lt;/Rate&gt;&lt;Rate&gt;&lt;No&gt;172/A/NBP/2026&lt;/No&gt;&lt;EffectiveDate&gt;2026-09-04&lt;/EffectiveDate&gt;&lt;Mid&gt;0.3994&lt;/Mid&gt;&lt;/Rate&gt;&lt;Rate&gt;&lt;No&gt;173/A/NBP/2026&lt;/No&gt;&lt;EffectiveDate&gt;2026-09-07&lt;/EffectiveDate&gt;&lt;Mid&gt;0.3997&lt;/Mid&gt;&lt;/Rate&gt;&lt;Rate&gt;&lt;No&gt;174/A/NBP/2026&lt;/No&gt;&lt;EffectiveDate&gt;2026-09-08&lt;/EffectiveDate&gt;&lt;Mid&gt;0.4016&lt;/Mid&gt;&lt;/Rate&gt;&lt;Rate&gt;&lt;No&gt;175/A/NBP/2026&lt;/No&gt;&lt;EffectiveDate&gt;2026-09-09&lt;/EffectiveDate&gt;&lt;Mid&gt;0.4026&lt;/Mid&gt;&lt;/Rate&gt;&lt;/Rates&gt;&lt;/ExchangeRatesSeries&gt;</v>
      </c>
      <c r="O14" s="1"/>
      <c r="P14" s="1"/>
      <c r="Q14" s="1"/>
      <c r="R14" s="1"/>
      <c r="S14" s="1"/>
      <c r="T14" s="1"/>
      <c r="U14" s="1"/>
      <c r="V14" s="1"/>
    </row>
    <row r="15" spans="1:22" x14ac:dyDescent="0.35">
      <c r="A15" s="1"/>
      <c r="B15" s="28" t="s">
        <v>80</v>
      </c>
      <c r="C15" s="76">
        <f>IF(F15&lt;&gt;"",F15,IF(N15="","",IFERROR(_xlfn.NUMBERVALUE(_xlfn.TEXTBEFORE(_xlfn.TEXTAFTER(N15,"&lt;Mid&gt;",-1),"&lt;/Mid&gt;"),"."),"brak kursu")))</f>
        <v>4.5838999999999999</v>
      </c>
      <c r="D15" s="75">
        <f>IF(F15&lt;&gt;"",IF(G15="","",G15),IF(N15="","",IFERROR(_xlfn.LET(_xlpm.s,_xlfn.TEXTBEFORE(_xlfn.TEXTAFTER(N15,"&lt;EffectiveDate&gt;",-1),"&lt;/EffectiveDate&gt;"),DATE(LEFT(_xlpm.s,4),MID(_xlpm.s,6,2),RIGHT(_xlpm.s,2))),"-")))</f>
        <v>46274</v>
      </c>
      <c r="E15" s="28" t="str">
        <f>IF(F15&lt;&gt;"",H15,IF(N15="","",IFERROR(_xlfn.TEXTBEFORE(_xlfn.TEXTAFTER(N15,"&lt;No&gt;",-1),"&lt;/No&gt;"),"-")))</f>
        <v>175/A/NBP/2026</v>
      </c>
      <c r="F15" s="77"/>
      <c r="G15" s="78"/>
      <c r="H15" s="79"/>
      <c r="I15" s="28" t="str">
        <f>IF(F15&lt;&gt;"","wpisany ręcznie",IF(ISNUMBER(C15),"NBP",""))</f>
        <v>NBP</v>
      </c>
      <c r="J15" s="1"/>
      <c r="K15" s="1"/>
      <c r="L15" s="1"/>
      <c r="M15" s="1"/>
      <c r="N15" s="1" t="str">
        <f>IF($C$5="","",IFERROR(_xlfn.WEBSERVICE("https://api.nbp.pl/api/exchangerates/rates/A/"&amp;B15&amp;"/"&amp;YEAR(($C$5-14))&amp;"-"&amp;RIGHT("0"&amp;MONTH(($C$5-14)),2)&amp;"-"&amp;RIGHT("0"&amp;DAY(($C$5-14)),2)&amp;"/"&amp;YEAR($C$5)&amp;"-"&amp;RIGHT("0"&amp;MONTH($C$5),2)&amp;"-"&amp;RIGHT("0"&amp;DAY($C$5),2)&amp;"/?format=xml"),"BLAD"))</f>
        <v>&lt;?xml version="1.0" encoding="utf-8"?&gt;&lt;ExchangeRatesSeries xmlns:xsd="http://www.w3.org/2001/XMLSchema" xmlns:xsi="http://www.w3.org/2001/XMLSchema-instance"&gt;&lt;Table&gt;A&lt;/Table&gt;&lt;Currency&gt;frank szwajcarski&lt;/Currency&gt;&lt;Code&gt;CHF&lt;/Code&gt;&lt;Rates&gt;&lt;Rate&gt;&lt;No&gt;165/A/NBP/2026&lt;/No&gt;&lt;EffectiveDate&gt;2026-08-26&lt;/EffectiveDate&gt;&lt;Mid&gt;4.5862&lt;/Mid&gt;&lt;/Rate&gt;&lt;Rate&gt;&lt;No&gt;166/A/NBP/2026&lt;/No&gt;&lt;EffectiveDate&gt;2026-08-27&lt;/EffectiveDate&gt;&lt;Mid&gt;4.6105&lt;/Mid&gt;&lt;/Rate&gt;&lt;Rate&gt;&lt;No&gt;167/A/NBP/2026&lt;/No&gt;&lt;EffectiveDate&gt;2026-08-28&lt;/EffectiveDate&gt;&lt;Mid&gt;4.6271&lt;/Mid&gt;&lt;/Rate&gt;&lt;Rate&gt;&lt;No&gt;168/A/NBP/2026&lt;/No&gt;&lt;EffectiveDate&gt;2026-08-31&lt;/EffectiveDate&gt;&lt;Mid&gt;4.6134&lt;/Mid&gt;&lt;/Rate&gt;&lt;Rate&gt;&lt;No&gt;169/A/NBP/2026&lt;/No&gt;&lt;EffectiveDate&gt;2026-09-01&lt;/EffectiveDate&gt;&lt;Mid&gt;4.6130&lt;/Mid&gt;&lt;/Rate&gt;&lt;Rate&gt;&lt;No&gt;170/A/NBP/2026&lt;/No&gt;&lt;EffectiveDate&gt;2026-09-02&lt;/EffectiveDate&gt;&lt;Mid&gt;4.5929&lt;/Mid&gt;&lt;/Rate&gt;&lt;Rate&gt;&lt;No&gt;171/A/NBP/2026&lt;/No&gt;&lt;EffectiveDate&gt;2026-09-03&lt;/EffectiveDate&gt;&lt;Mid&gt;4.6013&lt;/Mid&gt;&lt;/Rate&gt;&lt;Rate&gt;&lt;No&gt;172/A/NBP/2026&lt;/No&gt;&lt;EffectiveDate&gt;2026-09-04&lt;/EffectiveDate&gt;&lt;Mid&gt;4.5925&lt;/Mid&gt;&lt;/Rate&gt;&lt;Rate&gt;&lt;No&gt;173/A/NBP/2026&lt;/No&gt;&lt;EffectiveDate&gt;2026-09-07&lt;/EffectiveDate&gt;&lt;Mid&gt;4.5819&lt;/Mid&gt;&lt;/Rate&gt;&lt;Rate&gt;&lt;No&gt;174/A/NBP/2026&lt;/No&gt;&lt;EffectiveDate&gt;2026-09-08&lt;/EffectiveDate&gt;&lt;Mid&gt;4.5788&lt;/Mid&gt;&lt;/Rate&gt;&lt;Rate&gt;&lt;No&gt;175/A/NBP/2026&lt;/No&gt;&lt;EffectiveDate&gt;2026-09-09&lt;/EffectiveDate&gt;&lt;Mid&gt;4.5839&lt;/Mid&gt;&lt;/Rate&gt;&lt;/Rates&gt;&lt;/ExchangeRatesSeries&gt;</v>
      </c>
      <c r="O15" s="1"/>
      <c r="P15" s="1"/>
      <c r="Q15" s="1"/>
      <c r="R15" s="1"/>
      <c r="S15" s="1"/>
      <c r="T15" s="1"/>
      <c r="U15" s="1"/>
      <c r="V15" s="1"/>
    </row>
    <row r="16" spans="1:22" x14ac:dyDescent="0.35">
      <c r="A16" s="1"/>
      <c r="B16" s="28" t="s">
        <v>81</v>
      </c>
      <c r="C16" s="76">
        <f>IF(F16&lt;&gt;"",F16,IF(N16="","",IFERROR(_xlfn.NUMBERVALUE(_xlfn.TEXTBEFORE(_xlfn.TEXTAFTER(N16,"&lt;Mid&gt;",-1),"&lt;/Mid&gt;"),"."),"brak kursu")))</f>
        <v>0.38679999999999998</v>
      </c>
      <c r="D16" s="75">
        <f>IF(F16&lt;&gt;"",IF(G16="","",G16),IF(N16="","",IFERROR(_xlfn.LET(_xlpm.s,_xlfn.TEXTBEFORE(_xlfn.TEXTAFTER(N16,"&lt;EffectiveDate&gt;",-1),"&lt;/EffectiveDate&gt;"),DATE(LEFT(_xlpm.s,4),MID(_xlpm.s,6,2),RIGHT(_xlpm.s,2))),"-")))</f>
        <v>46274</v>
      </c>
      <c r="E16" s="28" t="str">
        <f>IF(F16&lt;&gt;"",H16,IF(N16="","",IFERROR(_xlfn.TEXTBEFORE(_xlfn.TEXTAFTER(N16,"&lt;No&gt;",-1),"&lt;/No&gt;"),"-")))</f>
        <v>175/A/NBP/2026</v>
      </c>
      <c r="F16" s="77"/>
      <c r="G16" s="78"/>
      <c r="H16" s="79"/>
      <c r="I16" s="28" t="str">
        <f>IF(F16&lt;&gt;"","wpisany ręcznie",IF(ISNUMBER(C16),"NBP",""))</f>
        <v>NBP</v>
      </c>
      <c r="J16" s="1"/>
      <c r="K16" s="1"/>
      <c r="L16" s="1"/>
      <c r="M16" s="1"/>
      <c r="N16" s="1" t="str">
        <f>IF($C$5="","",IFERROR(_xlfn.WEBSERVICE("https://api.nbp.pl/api/exchangerates/rates/A/"&amp;B16&amp;"/"&amp;YEAR(($C$5-14))&amp;"-"&amp;RIGHT("0"&amp;MONTH(($C$5-14)),2)&amp;"-"&amp;RIGHT("0"&amp;DAY(($C$5-14)),2)&amp;"/"&amp;YEAR($C$5)&amp;"-"&amp;RIGHT("0"&amp;MONTH($C$5),2)&amp;"-"&amp;RIGHT("0"&amp;DAY($C$5),2)&amp;"/?format=xml"),"BLAD"))</f>
        <v>&lt;?xml version="1.0" encoding="utf-8"?&gt;&lt;ExchangeRatesSeries xmlns:xsd="http://www.w3.org/2001/XMLSchema" xmlns:xsi="http://www.w3.org/2001/XMLSchema-instance"&gt;&lt;Table&gt;A&lt;/Table&gt;&lt;Currency&gt;korona szwedzka&lt;/Currency&gt;&lt;Code&gt;SEK&lt;/Code&gt;&lt;Rates&gt;&lt;Rate&gt;&lt;No&gt;165/A/NBP/2026&lt;/No&gt;&lt;EffectiveDate&gt;2026-08-26&lt;/EffectiveDate&gt;&lt;Mid&gt;0.3884&lt;/Mid&gt;&lt;/Rate&gt;&lt;Rate&gt;&lt;No&gt;166/A/NBP/2026&lt;/No&gt;&lt;EffectiveDate&gt;2026-08-27&lt;/EffectiveDate&gt;&lt;Mid&gt;0.3897&lt;/Mid&gt;&lt;/Rate&gt;&lt;Rate&gt;&lt;No&gt;167/A/NBP/2026&lt;/No&gt;&lt;EffectiveDate&gt;2026-08-28&lt;/EffectiveDate&gt;&lt;Mid&gt;0.3907&lt;/Mid&gt;&lt;/Rate&gt;&lt;Rate&gt;&lt;No&gt;168/A/NBP/2026&lt;/No&gt;&lt;EffectiveDate&gt;2026-08-31&lt;/EffectiveDate&gt;&lt;Mid&gt;0.3890&lt;/Mid&gt;&lt;/Rate&gt;&lt;Rate&gt;&lt;No&gt;169/A/NBP/2026&lt;/No&gt;&lt;EffectiveDate&gt;2026-09-01&lt;/EffectiveDate&gt;&lt;Mid&gt;0.3893&lt;/Mid&gt;&lt;/Rate&gt;&lt;Rate&gt;&lt;No&gt;170/A/NBP/2026&lt;/No&gt;&lt;EffectiveDate&gt;2026-09-02&lt;/EffectiveDate&gt;&lt;Mid&gt;0.3879&lt;/Mid&gt;&lt;/Rate&gt;&lt;Rate&gt;&lt;No&gt;171/A/NBP/2026&lt;/No&gt;&lt;EffectiveDate&gt;2026-09-03&lt;/EffectiveDate&gt;&lt;Mid&gt;0.3883&lt;/Mid&gt;&lt;/Rate&gt;&lt;Rate&gt;&lt;No&gt;172/A/NBP/2026&lt;/No&gt;&lt;EffectiveDate&gt;2026-09-04&lt;/EffectiveDate&gt;&lt;Mid&gt;0.3892&lt;/Mid&gt;&lt;/Rate&gt;&lt;Rate&gt;&lt;No&gt;173/A/NBP/2026&lt;/No&gt;&lt;EffectiveDate&gt;2026-09-07&lt;/EffectiveDate&gt;&lt;Mid&gt;0.3862&lt;/Mid&gt;&lt;/Rate&gt;&lt;Rate&gt;&lt;No&gt;174/A/NBP/2026&lt;/No&gt;&lt;EffectiveDate&gt;2026-09-08&lt;/EffectiveDate&gt;&lt;Mid&gt;0.3865&lt;/Mid&gt;&lt;/Rate&gt;&lt;Rate&gt;&lt;No&gt;175/A/NBP/2026&lt;/No&gt;&lt;EffectiveDate&gt;2026-09-09&lt;/EffectiveDate&gt;&lt;Mid&gt;0.3868&lt;/Mid&gt;&lt;/Rate&gt;&lt;/Rates&gt;&lt;/ExchangeRatesSeries&gt;</v>
      </c>
      <c r="O16" s="1"/>
      <c r="P16" s="1"/>
      <c r="Q16" s="1"/>
      <c r="R16" s="1"/>
      <c r="S16" s="1"/>
      <c r="T16" s="1"/>
      <c r="U16" s="1"/>
      <c r="V16" s="1"/>
    </row>
    <row r="17" spans="1:22" x14ac:dyDescent="0.35">
      <c r="A17" s="1"/>
      <c r="B17" s="28" t="s">
        <v>82</v>
      </c>
      <c r="C17" s="76">
        <f>IF(F17&lt;&gt;"",F17,IF(N17="","",IFERROR(_xlfn.NUMBERVALUE(_xlfn.TEXTBEFORE(_xlfn.TEXTAFTER(N17,"&lt;Mid&gt;",-1),"&lt;/Mid&gt;"),"."),"brak kursu")))</f>
        <v>5.0259999999999998</v>
      </c>
      <c r="D17" s="75">
        <f>IF(F17&lt;&gt;"",IF(G17="","",G17),IF(N17="","",IFERROR(_xlfn.LET(_xlpm.s,_xlfn.TEXTBEFORE(_xlfn.TEXTAFTER(N17,"&lt;EffectiveDate&gt;",-1),"&lt;/EffectiveDate&gt;"),DATE(LEFT(_xlpm.s,4),MID(_xlpm.s,6,2),RIGHT(_xlpm.s,2))),"-")))</f>
        <v>46274</v>
      </c>
      <c r="E17" s="28" t="str">
        <f>IF(F17&lt;&gt;"",H17,IF(N17="","",IFERROR(_xlfn.TEXTBEFORE(_xlfn.TEXTAFTER(N17,"&lt;No&gt;",-1),"&lt;/No&gt;"),"-")))</f>
        <v>175/A/NBP/2026</v>
      </c>
      <c r="F17" s="77"/>
      <c r="G17" s="78"/>
      <c r="H17" s="79"/>
      <c r="I17" s="28" t="str">
        <f>IF(F17&lt;&gt;"","wpisany ręcznie",IF(ISNUMBER(C17),"NBP",""))</f>
        <v>NBP</v>
      </c>
      <c r="J17" s="1"/>
      <c r="K17" s="1"/>
      <c r="L17" s="1"/>
      <c r="M17" s="1"/>
      <c r="N17" s="1" t="str">
        <f>IF($C$5="","",IFERROR(_xlfn.WEBSERVICE("https://api.nbp.pl/api/exchangerates/rates/A/"&amp;B17&amp;"/"&amp;YEAR(($C$5-14))&amp;"-"&amp;RIGHT("0"&amp;MONTH(($C$5-14)),2)&amp;"-"&amp;RIGHT("0"&amp;DAY(($C$5-14)),2)&amp;"/"&amp;YEAR($C$5)&amp;"-"&amp;RIGHT("0"&amp;MONTH($C$5),2)&amp;"-"&amp;RIGHT("0"&amp;DAY($C$5),2)&amp;"/?format=xml"),"BLAD"))</f>
        <v>&lt;?xml version="1.0" encoding="utf-8"?&gt;&lt;ExchangeRatesSeries xmlns:xsd="http://www.w3.org/2001/XMLSchema" xmlns:xsi="http://www.w3.org/2001/XMLSchema-instance"&gt;&lt;Table&gt;A&lt;/Table&gt;&lt;Currency&gt;funt szterling&lt;/Currency&gt;&lt;Code&gt;GBP&lt;/Code&gt;&lt;Rates&gt;&lt;Rate&gt;&lt;No&gt;165/A/NBP/2026&lt;/No&gt;&lt;EffectiveDate&gt;2026-08-26&lt;/EffectiveDate&gt;&lt;Mid&gt;5.0229&lt;/Mid&gt;&lt;/Rate&gt;&lt;Rate&gt;&lt;No&gt;166/A/NBP/2026&lt;/No&gt;&lt;EffectiveDate&gt;2026-08-27&lt;/EffectiveDate&gt;&lt;Mid&gt;5.0451&lt;/Mid&gt;&lt;/Rate&gt;&lt;Rate&gt;&lt;No&gt;167/A/NBP/2026&lt;/No&gt;&lt;EffectiveDate&gt;2026-08-28&lt;/EffectiveDate&gt;&lt;Mid&gt;5.0555&lt;/Mid&gt;&lt;/Rate&gt;&lt;Rate&gt;&lt;No&gt;168/A/NBP/2026&lt;/No&gt;&lt;EffectiveDate&gt;2026-08-31&lt;/EffectiveDate&gt;&lt;Mid&gt;5.0524&lt;/Mid&gt;&lt;/Rate&gt;&lt;Rate&gt;&lt;No&gt;169/A/NBP/2026&lt;/No&gt;&lt;EffectiveDate&gt;2026-09-01&lt;/EffectiveDate&gt;&lt;Mid&gt;5.0605&lt;/Mid&gt;&lt;/Rate&gt;&lt;Rate&gt;&lt;No&gt;170/A/NBP/2026&lt;/No&gt;&lt;EffectiveDate&gt;2026-09-02&lt;/EffectiveDate&gt;&lt;Mid&gt;5.0523&lt;/Mid&gt;&lt;/Rate&gt;&lt;Rate&gt;&lt;No&gt;171/A/NBP/2026&lt;/No&gt;&lt;EffectiveDate&gt;2026-09-03&lt;/EffectiveDate&gt;&lt;Mid&gt;5.0248&lt;/Mid&gt;&lt;/Rate&gt;&lt;Rate&gt;&lt;No&gt;172/A/NBP/2026&lt;/No&gt;&lt;EffectiveDate&gt;2026-09-04&lt;/EffectiveDate&gt;&lt;Mid&gt;5.0264&lt;/Mid&gt;&lt;/Rate&gt;&lt;Rate&gt;&lt;No&gt;173/A/NBP/2026&lt;/No&gt;&lt;EffectiveDate&gt;2026-09-07&lt;/EffectiveDate&gt;&lt;Mid&gt;5.0201&lt;/Mid&gt;&lt;/Rate&gt;&lt;Rate&gt;&lt;No&gt;174/A/NBP/2026&lt;/No&gt;&lt;EffectiveDate&gt;2026-09-08&lt;/EffectiveDate&gt;&lt;Mid&gt;5.0271&lt;/Mid&gt;&lt;/Rate&gt;&lt;Rate&gt;&lt;No&gt;175/A/NBP/2026&lt;/No&gt;&lt;EffectiveDate&gt;2026-09-09&lt;/EffectiveDate&gt;&lt;Mid&gt;5.0260&lt;/Mid&gt;&lt;/Rate&gt;&lt;/Rates&gt;&lt;/ExchangeRatesSeries&gt;</v>
      </c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0" customHeight="1" x14ac:dyDescent="0.35">
      <c r="A20" s="1"/>
      <c r="B20" s="10" t="s">
        <v>213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1"/>
      <c r="B21" s="1" t="s">
        <v>214</v>
      </c>
      <c r="C21" s="78">
        <f>IF(Kalkulator!D15="","",INT(Kalkulator!D15))</f>
        <v>46279</v>
      </c>
      <c r="D21" s="37" t="s">
        <v>215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5">
      <c r="A22" s="1"/>
      <c r="B22" s="1" t="s">
        <v>216</v>
      </c>
      <c r="C22" s="78">
        <f>IF(Kalkulator!D20="","",INT(Kalkulator!D20))</f>
        <v>46283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idden="1" x14ac:dyDescent="0.35">
      <c r="A23" s="1"/>
      <c r="B23" s="1"/>
      <c r="C23" s="1" t="str">
        <f>IF(OR($C$21="",$C$22=""),"",IFERROR(_xlfn.WEBSERVICE("https://api.nbp.pl/api/exchangerates/rates/A/EUR/"&amp;YEAR($C$21)&amp;"-"&amp;RIGHT("0"&amp;MONTH($C$21),2)&amp;"-"&amp;RIGHT("0"&amp;DAY($C$21),2)&amp;"/"&amp;YEAR($C$22)&amp;"-"&amp;RIGHT("0"&amp;MONTH($C$22),2)&amp;"-"&amp;RIGHT("0"&amp;DAY($C$22),2)&amp;"/?format=xml"),"BLAD"))</f>
        <v>&lt;?xml version="1.0" encoding="utf-8"?&gt;&lt;ExchangeRatesSeries xmlns:xsd="http://www.w3.org/2001/XMLSchema" xmlns:xsi="http://www.w3.org/2001/XMLSchema-instance"&gt;&lt;Table&gt;A&lt;/Table&gt;&lt;Currency&gt;euro&lt;/Currency&gt;&lt;Code&gt;EUR&lt;/Code&gt;&lt;Rates&gt;&lt;Rate&gt;&lt;No&gt;178/A/NBP/2026&lt;/No&gt;&lt;EffectiveDate&gt;2026-09-14&lt;/EffectiveDate&gt;&lt;Mid&gt;4.3391&lt;/Mid&gt;&lt;/Rate&gt;&lt;Rate&gt;&lt;No&gt;179/A/NBP/2026&lt;/No&gt;&lt;EffectiveDate&gt;2026-09-15&lt;/EffectiveDate&gt;&lt;Mid&gt;4.3445&lt;/Mid&gt;&lt;/Rate&gt;&lt;Rate&gt;&lt;No&gt;180/A/NBP/2026&lt;/No&gt;&lt;EffectiveDate&gt;2026-09-16&lt;/EffectiveDate&gt;&lt;Mid&gt;4.3435&lt;/Mid&gt;&lt;/Rate&gt;&lt;Rate&gt;&lt;No&gt;181/A/NBP/2026&lt;/No&gt;&lt;EffectiveDate&gt;2026-09-17&lt;/EffectiveDate&gt;&lt;Mid&gt;4.3632&lt;/Mid&gt;&lt;/Rate&gt;&lt;Rate&gt;&lt;No&gt;182/A/NBP/2026&lt;/No&gt;&lt;EffectiveDate&gt;2026-09-18&lt;/EffectiveDate&gt;&lt;Mid&gt;4.3633&lt;/Mid&gt;&lt;/Rate&gt;&lt;/Rates&gt;&lt;/ExchangeRatesSeries&gt;</v>
      </c>
      <c r="D23" s="1" t="str">
        <f>IF(OR($C$21="",$C$22=""),"",IFERROR(_xlfn.WEBSERVICE("https://api.nbp.pl/api/exchangerates/rates/A/USD/"&amp;YEAR($C$21)&amp;"-"&amp;RIGHT("0"&amp;MONTH($C$21),2)&amp;"-"&amp;RIGHT("0"&amp;DAY($C$21),2)&amp;"/"&amp;YEAR($C$22)&amp;"-"&amp;RIGHT("0"&amp;MONTH($C$22),2)&amp;"-"&amp;RIGHT("0"&amp;DAY($C$22),2)&amp;"/?format=xml"),"BLAD"))</f>
        <v>&lt;?xml version="1.0" encoding="utf-8"?&gt;&lt;ExchangeRatesSeries xmlns:xsd="http://www.w3.org/2001/XMLSchema" xmlns:xsi="http://www.w3.org/2001/XMLSchema-instance"&gt;&lt;Table&gt;A&lt;/Table&gt;&lt;Currency&gt;dolar amerykański&lt;/Currency&gt;&lt;Code&gt;USD&lt;/Code&gt;&lt;Rates&gt;&lt;Rate&gt;&lt;No&gt;178/A/NBP/2026&lt;/No&gt;&lt;EffectiveDate&gt;2026-09-14&lt;/EffectiveDate&gt;&lt;Mid&gt;3.7607&lt;/Mid&gt;&lt;/Rate&gt;&lt;Rate&gt;&lt;No&gt;179/A/NBP/2026&lt;/No&gt;&lt;EffectiveDate&gt;2026-09-15&lt;/EffectiveDate&gt;&lt;Mid&gt;3.7667&lt;/Mid&gt;&lt;/Rate&gt;&lt;Rate&gt;&lt;No&gt;180/A/NBP/2026&lt;/No&gt;&lt;EffectiveDate&gt;2026-09-16&lt;/EffectiveDate&gt;&lt;Mid&gt;3.7639&lt;/Mid&gt;&lt;/Rate&gt;&lt;Rate&gt;&lt;No&gt;181/A/NBP/2026&lt;/No&gt;&lt;EffectiveDate&gt;2026-09-17&lt;/EffectiveDate&gt;&lt;Mid&gt;3.8030&lt;/Mid&gt;&lt;/Rate&gt;&lt;Rate&gt;&lt;No&gt;182/A/NBP/2026&lt;/No&gt;&lt;EffectiveDate&gt;2026-09-18&lt;/EffectiveDate&gt;&lt;Mid&gt;3.7998&lt;/Mid&gt;&lt;/Rate&gt;&lt;/Rates&gt;&lt;/ExchangeRatesSeries&gt;</v>
      </c>
      <c r="E23" s="1" t="str">
        <f>IF(OR($C$21="",$C$22=""),"",IFERROR(_xlfn.WEBSERVICE("https://api.nbp.pl/api/exchangerates/rates/A/AUD/"&amp;YEAR($C$21)&amp;"-"&amp;RIGHT("0"&amp;MONTH($C$21),2)&amp;"-"&amp;RIGHT("0"&amp;DAY($C$21),2)&amp;"/"&amp;YEAR($C$22)&amp;"-"&amp;RIGHT("0"&amp;MONTH($C$22),2)&amp;"-"&amp;RIGHT("0"&amp;DAY($C$22),2)&amp;"/?format=xml"),"BLAD"))</f>
        <v>&lt;?xml version="1.0" encoding="utf-8"?&gt;&lt;ExchangeRatesSeries xmlns:xsd="http://www.w3.org/2001/XMLSchema" xmlns:xsi="http://www.w3.org/2001/XMLSchema-instance"&gt;&lt;Table&gt;A&lt;/Table&gt;&lt;Currency&gt;dolar australijski&lt;/Currency&gt;&lt;Code&gt;AUD&lt;/Code&gt;&lt;Rates&gt;&lt;Rate&gt;&lt;No&gt;178/A/NBP/2026&lt;/No&gt;&lt;EffectiveDate&gt;2026-09-14&lt;/EffectiveDate&gt;&lt;Mid&gt;2.6811&lt;/Mid&gt;&lt;/Rate&gt;&lt;Rate&gt;&lt;No&gt;179/A/NBP/2026&lt;/No&gt;&lt;EffectiveDate&gt;2026-09-15&lt;/EffectiveDate&gt;&lt;Mid&gt;2.6844&lt;/Mid&gt;&lt;/Rate&gt;&lt;Rate&gt;&lt;No&gt;180/A/NBP/2026&lt;/No&gt;&lt;EffectiveDate&gt;2026-09-16&lt;/EffectiveDate&gt;&lt;Mid&gt;2.6837&lt;/Mid&gt;&lt;/Rate&gt;&lt;Rate&gt;&lt;No&gt;181/A/NBP/2026&lt;/No&gt;&lt;EffectiveDate&gt;2026-09-17&lt;/EffectiveDate&gt;&lt;Mid&gt;2.7051&lt;/Mid&gt;&lt;/Rate&gt;&lt;Rate&gt;&lt;No&gt;182/A/NBP/2026&lt;/No&gt;&lt;EffectiveDate&gt;2026-09-18&lt;/EffectiveDate&gt;&lt;Mid&gt;2.7079&lt;/Mid&gt;&lt;/Rate&gt;&lt;/Rates&gt;&lt;/ExchangeRatesSeries&gt;</v>
      </c>
      <c r="F23" s="1" t="str">
        <f>IF(OR($C$21="",$C$22=""),"",IFERROR(_xlfn.WEBSERVICE("https://api.nbp.pl/api/exchangerates/rates/A/DKK/"&amp;YEAR($C$21)&amp;"-"&amp;RIGHT("0"&amp;MONTH($C$21),2)&amp;"-"&amp;RIGHT("0"&amp;DAY($C$21),2)&amp;"/"&amp;YEAR($C$22)&amp;"-"&amp;RIGHT("0"&amp;MONTH($C$22),2)&amp;"-"&amp;RIGHT("0"&amp;DAY($C$22),2)&amp;"/?format=xml"),"BLAD"))</f>
        <v>&lt;?xml version="1.0" encoding="utf-8"?&gt;&lt;ExchangeRatesSeries xmlns:xsd="http://www.w3.org/2001/XMLSchema" xmlns:xsi="http://www.w3.org/2001/XMLSchema-instance"&gt;&lt;Table&gt;A&lt;/Table&gt;&lt;Currency&gt;korona duńska&lt;/Currency&gt;&lt;Code&gt;DKK&lt;/Code&gt;&lt;Rates&gt;&lt;Rate&gt;&lt;No&gt;178/A/NBP/2026&lt;/No&gt;&lt;EffectiveDate&gt;2026-09-14&lt;/EffectiveDate&gt;&lt;Mid&gt;0.5804&lt;/Mid&gt;&lt;/Rate&gt;&lt;Rate&gt;&lt;No&gt;179/A/NBP/2026&lt;/No&gt;&lt;EffectiveDate&gt;2026-09-15&lt;/EffectiveDate&gt;&lt;Mid&gt;0.5812&lt;/Mid&gt;&lt;/Rate&gt;&lt;Rate&gt;&lt;No&gt;180/A/NBP/2026&lt;/No&gt;&lt;EffectiveDate&gt;2026-09-16&lt;/EffectiveDate&gt;&lt;Mid&gt;0.5810&lt;/Mid&gt;&lt;/Rate&gt;&lt;Rate&gt;&lt;No&gt;181/A/NBP/2026&lt;/No&gt;&lt;EffectiveDate&gt;2026-09-17&lt;/EffectiveDate&gt;&lt;Mid&gt;0.5837&lt;/Mid&gt;&lt;/Rate&gt;&lt;Rate&gt;&lt;No&gt;182/A/NBP/2026&lt;/No&gt;&lt;EffectiveDate&gt;2026-09-18&lt;/EffectiveDate&gt;&lt;Mid&gt;0.5837&lt;/Mid&gt;&lt;/Rate&gt;&lt;/Rates&gt;&lt;/ExchangeRatesSeries&gt;</v>
      </c>
      <c r="G23" s="1" t="str">
        <f>IF(OR($C$21="",$C$22=""),"",IFERROR(_xlfn.WEBSERVICE("https://api.nbp.pl/api/exchangerates/rates/A/JPY/"&amp;YEAR($C$21)&amp;"-"&amp;RIGHT("0"&amp;MONTH($C$21),2)&amp;"-"&amp;RIGHT("0"&amp;DAY($C$21),2)&amp;"/"&amp;YEAR($C$22)&amp;"-"&amp;RIGHT("0"&amp;MONTH($C$22),2)&amp;"-"&amp;RIGHT("0"&amp;DAY($C$22),2)&amp;"/?format=xml"),"BLAD"))</f>
        <v>&lt;?xml version="1.0" encoding="utf-8"?&gt;&lt;ExchangeRatesSeries xmlns:xsd="http://www.w3.org/2001/XMLSchema" xmlns:xsi="http://www.w3.org/2001/XMLSchema-instance"&gt;&lt;Table&gt;A&lt;/Table&gt;&lt;Currency&gt;jen (Japonia)&lt;/Currency&gt;&lt;Code&gt;JPY&lt;/Code&gt;&lt;Rates&gt;&lt;Rate&gt;&lt;No&gt;178/A/NBP/2026&lt;/No&gt;&lt;EffectiveDate&gt;2026-09-14&lt;/EffectiveDate&gt;&lt;Mid&gt;0.024333&lt;/Mid&gt;&lt;/Rate&gt;&lt;Rate&gt;&lt;No&gt;179/A/NBP/2026&lt;/No&gt;&lt;EffectiveDate&gt;2026-09-15&lt;/EffectiveDate&gt;&lt;Mid&gt;0.024303&lt;/Mid&gt;&lt;/Rate&gt;&lt;Rate&gt;&lt;No&gt;180/A/NBP/2026&lt;/No&gt;&lt;EffectiveDate&gt;2026-09-16&lt;/EffectiveDate&gt;&lt;Mid&gt;0.024266&lt;/Mid&gt;&lt;/Rate&gt;&lt;Rate&gt;&lt;No&gt;181/A/NBP/2026&lt;/No&gt;&lt;EffectiveDate&gt;2026-09-17&lt;/EffectiveDate&gt;&lt;Mid&gt;0.024412&lt;/Mid&gt;&lt;/Rate&gt;&lt;Rate&gt;&lt;No&gt;182/A/NBP/2026&lt;/No&gt;&lt;EffectiveDate&gt;2026-09-18&lt;/EffectiveDate&gt;&lt;Mid&gt;0.024078&lt;/Mid&gt;&lt;/Rate&gt;&lt;/Rates&gt;&lt;/ExchangeRatesSeries&gt;</v>
      </c>
      <c r="H23" s="1" t="str">
        <f>IF(OR($C$21="",$C$22=""),"",IFERROR(_xlfn.WEBSERVICE("https://api.nbp.pl/api/exchangerates/rates/A/CAD/"&amp;YEAR($C$21)&amp;"-"&amp;RIGHT("0"&amp;MONTH($C$21),2)&amp;"-"&amp;RIGHT("0"&amp;DAY($C$21),2)&amp;"/"&amp;YEAR($C$22)&amp;"-"&amp;RIGHT("0"&amp;MONTH($C$22),2)&amp;"-"&amp;RIGHT("0"&amp;DAY($C$22),2)&amp;"/?format=xml"),"BLAD"))</f>
        <v>&lt;?xml version="1.0" encoding="utf-8"?&gt;&lt;ExchangeRatesSeries xmlns:xsd="http://www.w3.org/2001/XMLSchema" xmlns:xsi="http://www.w3.org/2001/XMLSchema-instance"&gt;&lt;Table&gt;A&lt;/Table&gt;&lt;Currency&gt;dolar kanadyjski&lt;/Currency&gt;&lt;Code&gt;CAD&lt;/Code&gt;&lt;Rates&gt;&lt;Rate&gt;&lt;No&gt;178/A/NBP/2026&lt;/No&gt;&lt;EffectiveDate&gt;2026-09-14&lt;/EffectiveDate&gt;&lt;Mid&gt;2.7060&lt;/Mid&gt;&lt;/Rate&gt;&lt;Rate&gt;&lt;No&gt;179/A/NBP/2026&lt;/No&gt;&lt;EffectiveDate&gt;2026-09-15&lt;/EffectiveDate&gt;&lt;Mid&gt;2.7090&lt;/Mid&gt;&lt;/Rate&gt;&lt;Rate&gt;&lt;No&gt;180/A/NBP/2026&lt;/No&gt;&lt;EffectiveDate&gt;2026-09-16&lt;/EffectiveDate&gt;&lt;Mid&gt;2.7024&lt;/Mid&gt;&lt;/Rate&gt;&lt;Rate&gt;&lt;No&gt;181/A/NBP/2026&lt;/No&gt;&lt;EffectiveDate&gt;2026-09-17&lt;/EffectiveDate&gt;&lt;Mid&gt;2.7190&lt;/Mid&gt;&lt;/Rate&gt;&lt;Rate&gt;&lt;No&gt;182/A/NBP/2026&lt;/No&gt;&lt;EffectiveDate&gt;2026-09-18&lt;/EffectiveDate&gt;&lt;Mid&gt;2.7143&lt;/Mid&gt;&lt;/Rate&gt;&lt;/Rates&gt;&lt;/ExchangeRatesSeries&gt;</v>
      </c>
      <c r="I23" s="1" t="str">
        <f>IF(OR($C$21="",$C$22=""),"",IFERROR(_xlfn.WEBSERVICE("https://api.nbp.pl/api/exchangerates/rates/A/NOK/"&amp;YEAR($C$21)&amp;"-"&amp;RIGHT("0"&amp;MONTH($C$21),2)&amp;"-"&amp;RIGHT("0"&amp;DAY($C$21),2)&amp;"/"&amp;YEAR($C$22)&amp;"-"&amp;RIGHT("0"&amp;MONTH($C$22),2)&amp;"-"&amp;RIGHT("0"&amp;DAY($C$22),2)&amp;"/?format=xml"),"BLAD"))</f>
        <v>&lt;?xml version="1.0" encoding="utf-8"?&gt;&lt;ExchangeRatesSeries xmlns:xsd="http://www.w3.org/2001/XMLSchema" xmlns:xsi="http://www.w3.org/2001/XMLSchema-instance"&gt;&lt;Table&gt;A&lt;/Table&gt;&lt;Currency&gt;korona norweska&lt;/Currency&gt;&lt;Code&gt;NOK&lt;/Code&gt;&lt;Rates&gt;&lt;Rate&gt;&lt;No&gt;178/A/NBP/2026&lt;/No&gt;&lt;EffectiveDate&gt;2026-09-14&lt;/EffectiveDate&gt;&lt;Mid&gt;0.4034&lt;/Mid&gt;&lt;/Rate&gt;&lt;Rate&gt;&lt;No&gt;179/A/NBP/2026&lt;/No&gt;&lt;EffectiveDate&gt;2026-09-15&lt;/EffectiveDate&gt;&lt;Mid&gt;0.4030&lt;/Mid&gt;&lt;/Rate&gt;&lt;Rate&gt;&lt;No&gt;180/A/NBP/2026&lt;/No&gt;&lt;EffectiveDate&gt;2026-09-16&lt;/EffectiveDate&gt;&lt;Mid&gt;0.4026&lt;/Mid&gt;&lt;/Rate&gt;&lt;Rate&gt;&lt;No&gt;181/A/NBP/2026&lt;/No&gt;&lt;EffectiveDate&gt;2026-09-17&lt;/EffectiveDate&gt;&lt;Mid&gt;0.4035&lt;/Mid&gt;&lt;/Rate&gt;&lt;Rate&gt;&lt;No&gt;182/A/NBP/2026&lt;/No&gt;&lt;EffectiveDate&gt;2026-09-18&lt;/EffectiveDate&gt;&lt;Mid&gt;0.4029&lt;/Mid&gt;&lt;/Rate&gt;&lt;/Rates&gt;&lt;/ExchangeRatesSeries&gt;</v>
      </c>
      <c r="J23" s="1" t="str">
        <f>IF(OR($C$21="",$C$22=""),"",IFERROR(_xlfn.WEBSERVICE("https://api.nbp.pl/api/exchangerates/rates/A/CHF/"&amp;YEAR($C$21)&amp;"-"&amp;RIGHT("0"&amp;MONTH($C$21),2)&amp;"-"&amp;RIGHT("0"&amp;DAY($C$21),2)&amp;"/"&amp;YEAR($C$22)&amp;"-"&amp;RIGHT("0"&amp;MONTH($C$22),2)&amp;"-"&amp;RIGHT("0"&amp;DAY($C$22),2)&amp;"/?format=xml"),"BLAD"))</f>
        <v>&lt;?xml version="1.0" encoding="utf-8"?&gt;&lt;ExchangeRatesSeries xmlns:xsd="http://www.w3.org/2001/XMLSchema" xmlns:xsi="http://www.w3.org/2001/XMLSchema-instance"&gt;&lt;Table&gt;A&lt;/Table&gt;&lt;Currency&gt;frank szwajcarski&lt;/Currency&gt;&lt;Code&gt;CHF&lt;/Code&gt;&lt;Rates&gt;&lt;Rate&gt;&lt;No&gt;178/A/NBP/2026&lt;/No&gt;&lt;EffectiveDate&gt;2026-09-14&lt;/EffectiveDate&gt;&lt;Mid&gt;4.5926&lt;/Mid&gt;&lt;/Rate&gt;&lt;Rate&gt;&lt;No&gt;179/A/NBP/2026&lt;/No&gt;&lt;EffectiveDate&gt;2026-09-15&lt;/EffectiveDate&gt;&lt;Mid&gt;4.6069&lt;/Mid&gt;&lt;/Rate&gt;&lt;Rate&gt;&lt;No&gt;180/A/NBP/2026&lt;/No&gt;&lt;EffectiveDate&gt;2026-09-16&lt;/EffectiveDate&gt;&lt;Mid&gt;4.5968&lt;/Mid&gt;&lt;/Rate&gt;&lt;Rate&gt;&lt;No&gt;181/A/NBP/2026&lt;/No&gt;&lt;EffectiveDate&gt;2026-09-17&lt;/EffectiveDate&gt;&lt;Mid&gt;4.6076&lt;/Mid&gt;&lt;/Rate&gt;&lt;Rate&gt;&lt;No&gt;182/A/NBP/2026&lt;/No&gt;&lt;EffectiveDate&gt;2026-09-18&lt;/EffectiveDate&gt;&lt;Mid&gt;4.6085&lt;/Mid&gt;&lt;/Rate&gt;&lt;/Rates&gt;&lt;/ExchangeRatesSeries&gt;</v>
      </c>
      <c r="K23" s="1" t="str">
        <f>IF(OR($C$21="",$C$22=""),"",IFERROR(_xlfn.WEBSERVICE("https://api.nbp.pl/api/exchangerates/rates/A/SEK/"&amp;YEAR($C$21)&amp;"-"&amp;RIGHT("0"&amp;MONTH($C$21),2)&amp;"-"&amp;RIGHT("0"&amp;DAY($C$21),2)&amp;"/"&amp;YEAR($C$22)&amp;"-"&amp;RIGHT("0"&amp;MONTH($C$22),2)&amp;"-"&amp;RIGHT("0"&amp;DAY($C$22),2)&amp;"/?format=xml"),"BLAD"))</f>
        <v>&lt;?xml version="1.0" encoding="utf-8"?&gt;&lt;ExchangeRatesSeries xmlns:xsd="http://www.w3.org/2001/XMLSchema" xmlns:xsi="http://www.w3.org/2001/XMLSchema-instance"&gt;&lt;Table&gt;A&lt;/Table&gt;&lt;Currency&gt;korona szwedzka&lt;/Currency&gt;&lt;Code&gt;SEK&lt;/Code&gt;&lt;Rates&gt;&lt;Rate&gt;&lt;No&gt;178/A/NBP/2026&lt;/No&gt;&lt;EffectiveDate&gt;2026-09-14&lt;/EffectiveDate&gt;&lt;Mid&gt;0.3849&lt;/Mid&gt;&lt;/Rate&gt;&lt;Rate&gt;&lt;No&gt;179/A/NBP/2026&lt;/No&gt;&lt;EffectiveDate&gt;2026-09-15&lt;/EffectiveDate&gt;&lt;Mid&gt;0.3853&lt;/Mid&gt;&lt;/Rate&gt;&lt;Rate&gt;&lt;No&gt;180/A/NBP/2026&lt;/No&gt;&lt;EffectiveDate&gt;2026-09-16&lt;/EffectiveDate&gt;&lt;Mid&gt;0.3849&lt;/Mid&gt;&lt;/Rate&gt;&lt;Rate&gt;&lt;No&gt;181/A/NBP/2026&lt;/No&gt;&lt;EffectiveDate&gt;2026-09-17&lt;/EffectiveDate&gt;&lt;Mid&gt;0.3871&lt;/Mid&gt;&lt;/Rate&gt;&lt;Rate&gt;&lt;No&gt;182/A/NBP/2026&lt;/No&gt;&lt;EffectiveDate&gt;2026-09-18&lt;/EffectiveDate&gt;&lt;Mid&gt;0.3872&lt;/Mid&gt;&lt;/Rate&gt;&lt;/Rates&gt;&lt;/ExchangeRatesSeries&gt;</v>
      </c>
      <c r="L23" s="1" t="str">
        <f>IF(OR($C$21="",$C$22=""),"",IFERROR(_xlfn.WEBSERVICE("https://api.nbp.pl/api/exchangerates/rates/A/GBP/"&amp;YEAR($C$21)&amp;"-"&amp;RIGHT("0"&amp;MONTH($C$21),2)&amp;"-"&amp;RIGHT("0"&amp;DAY($C$21),2)&amp;"/"&amp;YEAR($C$22)&amp;"-"&amp;RIGHT("0"&amp;MONTH($C$22),2)&amp;"-"&amp;RIGHT("0"&amp;DAY($C$22),2)&amp;"/?format=xml"),"BLAD"))</f>
        <v>&lt;?xml version="1.0" encoding="utf-8"?&gt;&lt;ExchangeRatesSeries xmlns:xsd="http://www.w3.org/2001/XMLSchema" xmlns:xsi="http://www.w3.org/2001/XMLSchema-instance"&gt;&lt;Table&gt;A&lt;/Table&gt;&lt;Currency&gt;funt szterling&lt;/Currency&gt;&lt;Code&gt;GBP&lt;/Code&gt;&lt;Rates&gt;&lt;Rate&gt;&lt;No&gt;178/A/NBP/2026&lt;/No&gt;&lt;EffectiveDate&gt;2026-09-14&lt;/EffectiveDate&gt;&lt;Mid&gt;5.0705&lt;/Mid&gt;&lt;/Rate&gt;&lt;Rate&gt;&lt;No&gt;179/A/NBP/2026&lt;/No&gt;&lt;EffectiveDate&gt;2026-09-15&lt;/EffectiveDate&gt;&lt;Mid&gt;5.0756&lt;/Mid&gt;&lt;/Rate&gt;&lt;Rate&gt;&lt;No&gt;180/A/NBP/2026&lt;/No&gt;&lt;EffectiveDate&gt;2026-09-16&lt;/EffectiveDate&gt;&lt;Mid&gt;5.0703&lt;/Mid&gt;&lt;/Rate&gt;&lt;Rate&gt;&lt;No&gt;181/A/NBP/2026&lt;/No&gt;&lt;EffectiveDate&gt;2026-09-17&lt;/EffectiveDate&gt;&lt;Mid&gt;5.0942&lt;/Mid&gt;&lt;/Rate&gt;&lt;Rate&gt;&lt;No&gt;182/A/NBP/2026&lt;/No&gt;&lt;EffectiveDate&gt;2026-09-18&lt;/EffectiveDate&gt;&lt;Mid&gt;5.0804&lt;/Mid&gt;&lt;/Rate&gt;&lt;/Rates&gt;&lt;/ExchangeRatesSeries&gt;</v>
      </c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2" customHeight="1" x14ac:dyDescent="0.35">
      <c r="A24" s="1"/>
      <c r="B24" s="16" t="s">
        <v>202</v>
      </c>
      <c r="C24" s="16" t="s">
        <v>73</v>
      </c>
      <c r="D24" s="16" t="s">
        <v>74</v>
      </c>
      <c r="E24" s="16" t="s">
        <v>75</v>
      </c>
      <c r="F24" s="16" t="s">
        <v>76</v>
      </c>
      <c r="G24" s="16" t="s">
        <v>77</v>
      </c>
      <c r="H24" s="16" t="s">
        <v>78</v>
      </c>
      <c r="I24" s="16" t="s">
        <v>79</v>
      </c>
      <c r="J24" s="16" t="s">
        <v>80</v>
      </c>
      <c r="K24" s="16" t="s">
        <v>81</v>
      </c>
      <c r="L24" s="16" t="s">
        <v>82</v>
      </c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1"/>
      <c r="B25" s="80" cm="1">
        <f t="array" ref="B25:B29">IF(C23="","",IFERROR(_xlfn.LET(_xlpm.p,LEFT(_xlfn.DROP(_xlfn.TEXTSPLIT(C23,"&lt;EffectiveDate&gt;"),,1),10),TRANSPOSE(DATE(LEFT(_xlpm.p,4),MID(_xlpm.p,6,2),RIGHT(_xlpm.p,2)))),"brak notowań w tym okresie"))</f>
        <v>46279</v>
      </c>
      <c r="C25" s="81" cm="1">
        <f t="array" ref="C25:C29">IF(C23="","",IFERROR(TRANSPOSE(_xlfn.NUMBERVALUE(_xlfn.TEXTBEFORE(_xlfn.DROP(_xlfn.TEXTSPLIT(C23,"&lt;Mid&gt;"),,1),"&lt;/Mid&gt;"),".")),"brak notowań"))</f>
        <v>4.3391000000000002</v>
      </c>
      <c r="D25" s="81" cm="1">
        <f t="array" ref="D25:D29">IF(D23="","",IFERROR(TRANSPOSE(_xlfn.NUMBERVALUE(_xlfn.TEXTBEFORE(_xlfn.DROP(_xlfn.TEXTSPLIT(D23,"&lt;Mid&gt;"),,1),"&lt;/Mid&gt;"),".")),"brak notowań"))</f>
        <v>3.7606999999999999</v>
      </c>
      <c r="E25" s="81" cm="1">
        <f t="array" ref="E25:E29">IF(E23="","",IFERROR(TRANSPOSE(_xlfn.NUMBERVALUE(_xlfn.TEXTBEFORE(_xlfn.DROP(_xlfn.TEXTSPLIT(E23,"&lt;Mid&gt;"),,1),"&lt;/Mid&gt;"),".")),"brak notowań"))</f>
        <v>2.6810999999999998</v>
      </c>
      <c r="F25" s="81" cm="1">
        <f t="array" ref="F25:F29">IF(F23="","",IFERROR(TRANSPOSE(_xlfn.NUMBERVALUE(_xlfn.TEXTBEFORE(_xlfn.DROP(_xlfn.TEXTSPLIT(F23,"&lt;Mid&gt;"),,1),"&lt;/Mid&gt;"),".")),"brak notowań"))</f>
        <v>0.58040000000000003</v>
      </c>
      <c r="G25" s="81" cm="1">
        <f t="array" ref="G25:G29">IF(G23="","",IFERROR(TRANSPOSE(_xlfn.NUMBERVALUE(_xlfn.TEXTBEFORE(_xlfn.DROP(_xlfn.TEXTSPLIT(G23,"&lt;Mid&gt;"),,1),"&lt;/Mid&gt;"),".")),"brak notowań"))</f>
        <v>2.4333E-2</v>
      </c>
      <c r="H25" s="81" cm="1">
        <f t="array" ref="H25:H29">IF(H23="","",IFERROR(TRANSPOSE(_xlfn.NUMBERVALUE(_xlfn.TEXTBEFORE(_xlfn.DROP(_xlfn.TEXTSPLIT(H23,"&lt;Mid&gt;"),,1),"&lt;/Mid&gt;"),".")),"brak notowań"))</f>
        <v>2.706</v>
      </c>
      <c r="I25" s="81" cm="1">
        <f t="array" ref="I25:I29">IF(I23="","",IFERROR(TRANSPOSE(_xlfn.NUMBERVALUE(_xlfn.TEXTBEFORE(_xlfn.DROP(_xlfn.TEXTSPLIT(I23,"&lt;Mid&gt;"),,1),"&lt;/Mid&gt;"),".")),"brak notowań"))</f>
        <v>0.40339999999999998</v>
      </c>
      <c r="J25" s="81" cm="1">
        <f t="array" ref="J25:J29">IF(J23="","",IFERROR(TRANSPOSE(_xlfn.NUMBERVALUE(_xlfn.TEXTBEFORE(_xlfn.DROP(_xlfn.TEXTSPLIT(J23,"&lt;Mid&gt;"),,1),"&lt;/Mid&gt;"),".")),"brak notowań"))</f>
        <v>4.5926</v>
      </c>
      <c r="K25" s="81" cm="1">
        <f t="array" ref="K25:K29">IF(K23="","",IFERROR(TRANSPOSE(_xlfn.NUMBERVALUE(_xlfn.TEXTBEFORE(_xlfn.DROP(_xlfn.TEXTSPLIT(K23,"&lt;Mid&gt;"),,1),"&lt;/Mid&gt;"),".")),"brak notowań"))</f>
        <v>0.38490000000000002</v>
      </c>
      <c r="L25" s="81" cm="1">
        <f t="array" ref="L25:L29">IF(L23="","",IFERROR(TRANSPOSE(_xlfn.NUMBERVALUE(_xlfn.TEXTBEFORE(_xlfn.DROP(_xlfn.TEXTSPLIT(L23,"&lt;Mid&gt;"),,1),"&lt;/Mid&gt;"),".")),"brak notowań"))</f>
        <v>5.0705</v>
      </c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80">
        <v>46280</v>
      </c>
      <c r="C26" s="81">
        <v>4.3445</v>
      </c>
      <c r="D26" s="81">
        <v>3.7667000000000002</v>
      </c>
      <c r="E26" s="81">
        <v>2.6844000000000001</v>
      </c>
      <c r="F26" s="81">
        <v>0.58120000000000005</v>
      </c>
      <c r="G26" s="81">
        <v>2.4303000000000002E-2</v>
      </c>
      <c r="H26" s="81">
        <v>2.7090000000000001</v>
      </c>
      <c r="I26" s="81">
        <v>0.40300000000000002</v>
      </c>
      <c r="J26" s="81">
        <v>4.6069000000000004</v>
      </c>
      <c r="K26" s="81">
        <v>0.38529999999999998</v>
      </c>
      <c r="L26" s="81">
        <v>5.0755999999999997</v>
      </c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80">
        <v>46281</v>
      </c>
      <c r="C27" s="81">
        <v>4.3434999999999997</v>
      </c>
      <c r="D27" s="81">
        <v>3.7639</v>
      </c>
      <c r="E27" s="81">
        <v>2.6837</v>
      </c>
      <c r="F27" s="81">
        <v>0.58099999999999996</v>
      </c>
      <c r="G27" s="81">
        <v>2.4265999999999999E-2</v>
      </c>
      <c r="H27" s="81">
        <v>2.7023999999999999</v>
      </c>
      <c r="I27" s="81">
        <v>0.40260000000000001</v>
      </c>
      <c r="J27" s="81">
        <v>4.5968</v>
      </c>
      <c r="K27" s="81">
        <v>0.38490000000000002</v>
      </c>
      <c r="L27" s="81">
        <v>5.0702999999999996</v>
      </c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1"/>
      <c r="B28" s="80">
        <v>46282</v>
      </c>
      <c r="C28" s="81">
        <v>4.3632</v>
      </c>
      <c r="D28" s="81">
        <v>3.8029999999999999</v>
      </c>
      <c r="E28" s="81">
        <v>2.7050999999999998</v>
      </c>
      <c r="F28" s="81">
        <v>0.5837</v>
      </c>
      <c r="G28" s="81">
        <v>2.4412E-2</v>
      </c>
      <c r="H28" s="81">
        <v>2.7189999999999999</v>
      </c>
      <c r="I28" s="81">
        <v>0.40350000000000003</v>
      </c>
      <c r="J28" s="81">
        <v>4.6075999999999997</v>
      </c>
      <c r="K28" s="81">
        <v>0.3871</v>
      </c>
      <c r="L28" s="81">
        <v>5.0941999999999998</v>
      </c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1"/>
      <c r="B29" s="80">
        <v>46283</v>
      </c>
      <c r="C29" s="81">
        <v>4.3632999999999997</v>
      </c>
      <c r="D29" s="81">
        <v>3.7997999999999998</v>
      </c>
      <c r="E29" s="81">
        <v>2.7079</v>
      </c>
      <c r="F29" s="81">
        <v>0.5837</v>
      </c>
      <c r="G29" s="81">
        <v>2.4077999999999999E-2</v>
      </c>
      <c r="H29" s="81">
        <v>2.7143000000000002</v>
      </c>
      <c r="I29" s="81">
        <v>0.40289999999999998</v>
      </c>
      <c r="J29" s="81">
        <v>4.6085000000000003</v>
      </c>
      <c r="K29" s="81">
        <v>0.38719999999999999</v>
      </c>
      <c r="L29" s="81">
        <v>5.0804</v>
      </c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1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5">
      <c r="A31" s="1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5">
      <c r="A32" s="1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1"/>
      <c r="B33" s="80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5">
      <c r="A34" s="1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5">
      <c r="A35" s="1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5">
      <c r="A36" s="1"/>
      <c r="B36" s="80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1"/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A38" s="1"/>
      <c r="B38" s="80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5">
      <c r="A39" s="1"/>
      <c r="B39" s="80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5">
      <c r="A40" s="1"/>
      <c r="B40" s="80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5">
      <c r="A41" s="1"/>
      <c r="B41" s="80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5">
      <c r="A42" s="1"/>
      <c r="B42" s="80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1"/>
      <c r="B43" s="80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5">
      <c r="A44" s="1"/>
      <c r="B44" s="80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5">
      <c r="A45" s="1"/>
      <c r="B45" s="80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5">
      <c r="A46" s="1"/>
      <c r="B46" s="80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5">
      <c r="A47" s="1"/>
      <c r="B47" s="80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5">
      <c r="A48" s="1"/>
      <c r="B48" s="80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5">
      <c r="A49" s="1"/>
      <c r="B49" s="80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5">
      <c r="A50" s="1"/>
      <c r="B50" s="80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5">
      <c r="A51" s="1"/>
      <c r="B51" s="80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5">
      <c r="A52" s="1"/>
      <c r="B52" s="80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5">
      <c r="A53" s="1"/>
      <c r="B53" s="80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5">
      <c r="A54" s="1"/>
      <c r="B54" s="80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5">
      <c r="A55" s="1"/>
      <c r="B55" s="80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5">
      <c r="A56" s="1"/>
      <c r="B56" s="80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5">
      <c r="A57" s="1"/>
      <c r="B57" s="80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5">
      <c r="A58" s="1"/>
      <c r="B58" s="80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5">
      <c r="A59" s="1"/>
      <c r="B59" s="80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5">
      <c r="A60" s="1"/>
      <c r="B60" s="80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5">
      <c r="A61" s="1"/>
      <c r="B61" s="80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5">
      <c r="A62" s="1"/>
      <c r="B62" s="80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5">
      <c r="A63" s="1"/>
      <c r="B63" s="80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5">
      <c r="A64" s="1"/>
      <c r="B64" s="80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5">
      <c r="A65" s="1"/>
      <c r="B65" s="80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5">
      <c r="A66" s="1"/>
      <c r="B66" s="80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5">
      <c r="A67" s="1"/>
      <c r="B67" s="80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5">
      <c r="A68" s="1"/>
      <c r="B68" s="80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5">
      <c r="A69" s="1"/>
      <c r="B69" s="80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5">
      <c r="A70" s="1"/>
      <c r="B70" s="80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5">
      <c r="A71" s="1"/>
      <c r="B71" s="80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1"/>
      <c r="B72" s="80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5">
      <c r="A73" s="1"/>
      <c r="B73" s="80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5">
      <c r="A74" s="1"/>
      <c r="B74" s="80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5">
      <c r="A75" s="1"/>
      <c r="B75" s="80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5">
      <c r="A76" s="1"/>
      <c r="B76" s="80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5">
      <c r="A77" s="1"/>
      <c r="B77" s="80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5">
      <c r="A78" s="1"/>
      <c r="B78" s="80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5">
      <c r="A79" s="1"/>
      <c r="B79" s="80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5">
      <c r="A80" s="1"/>
      <c r="B80" s="80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5">
      <c r="A81" s="1"/>
      <c r="B81" s="80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5">
      <c r="A82" s="1"/>
      <c r="B82" s="80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5">
      <c r="A83" s="1"/>
      <c r="B83" s="80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5">
      <c r="A84" s="1"/>
      <c r="B84" s="80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5">
      <c r="A85" s="1"/>
      <c r="B85" s="80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5">
      <c r="A86" s="1"/>
      <c r="B86" s="80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5">
      <c r="A87" s="1"/>
      <c r="B87" s="80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5">
      <c r="A88" s="1"/>
      <c r="B88" s="80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5">
      <c r="A89" s="1"/>
      <c r="B89" s="80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5">
      <c r="A90" s="1"/>
      <c r="B90" s="80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5">
      <c r="A91" s="1"/>
      <c r="B91" s="80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5">
      <c r="A92" s="1"/>
      <c r="B92" s="80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5">
      <c r="A93" s="1"/>
      <c r="B93" s="80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5">
      <c r="A94" s="1"/>
      <c r="B94" s="80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5">
      <c r="A95" s="1"/>
      <c r="B95" s="80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5">
      <c r="A96" s="1"/>
      <c r="B96" s="80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5">
      <c r="A97" s="1"/>
      <c r="B97" s="80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5">
      <c r="A98" s="1"/>
      <c r="B98" s="80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5">
      <c r="A99" s="1"/>
      <c r="B99" s="80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5">
      <c r="A100" s="1"/>
      <c r="B100" s="80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1"/>
      <c r="B101" s="80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1"/>
      <c r="B102" s="80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1"/>
      <c r="B103" s="80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1"/>
      <c r="B104" s="80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1"/>
      <c r="B105" s="80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1"/>
      <c r="B106" s="80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1"/>
      <c r="B107" s="80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1"/>
      <c r="B108" s="80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1"/>
      <c r="B109" s="80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1"/>
      <c r="B110" s="80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1"/>
      <c r="B111" s="80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1"/>
      <c r="B112" s="80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1"/>
      <c r="B113" s="80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1"/>
      <c r="B114" s="80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1"/>
      <c r="B115" s="80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1"/>
      <c r="B116" s="80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1"/>
      <c r="B117" s="80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</sheetData>
  <sheetProtection sheet="1" objects="1" scenarios="1" formatCells="0" formatColumns="0" formatRows="0"/>
  <conditionalFormatting sqref="G8:H17">
    <cfRule type="expression" dxfId="1" priority="1">
      <formula>AND($F8&lt;&gt;"",G8="")</formula>
    </cfRule>
  </conditionalFormatting>
  <conditionalFormatting sqref="I8:I17">
    <cfRule type="expression" dxfId="0" priority="3">
      <formula>$F8&lt;&gt;""</formula>
    </cfRule>
  </conditionalFormatting>
  <dataValidations count="2">
    <dataValidation type="decimal" operator="greaterThan" allowBlank="1" showErrorMessage="1" errorTitle="Niepoprawny kurs" error="Wpisz kurs większy od zera, np. 4,2563." sqref="F8:F17" xr:uid="{00000000-0002-0000-0400-000000000000}">
      <formula1>0</formula1>
    </dataValidation>
    <dataValidation type="decimal" allowBlank="1" showErrorMessage="1" errorTitle="Niepoprawna data" error="Wpisz datę notowania, np. 14.09.2026." sqref="G8:G17" xr:uid="{00000000-0002-0000-0400-000001000000}">
      <formula1>36526</formula1>
      <formula2>73051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3" width="16" customWidth="1"/>
  </cols>
  <sheetData>
    <row r="1" spans="1:22" ht="30" customHeight="1" x14ac:dyDescent="0.35">
      <c r="A1" s="16" t="s">
        <v>217</v>
      </c>
      <c r="B1" s="16" t="s">
        <v>44</v>
      </c>
      <c r="C1" s="16" t="s">
        <v>60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5">
      <c r="A2" s="28" t="s">
        <v>218</v>
      </c>
      <c r="B2" s="23" t="s">
        <v>73</v>
      </c>
      <c r="C2" s="82">
        <v>47</v>
      </c>
      <c r="D2" s="1"/>
      <c r="E2" s="37" t="s">
        <v>219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28" t="s">
        <v>220</v>
      </c>
      <c r="B3" s="23" t="s">
        <v>73</v>
      </c>
      <c r="C3" s="82">
        <v>41</v>
      </c>
      <c r="D3" s="1"/>
      <c r="E3" s="37" t="s">
        <v>221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28" t="s">
        <v>222</v>
      </c>
      <c r="B4" s="23" t="s">
        <v>73</v>
      </c>
      <c r="C4" s="82">
        <v>50</v>
      </c>
      <c r="D4" s="1"/>
      <c r="E4" s="37" t="s">
        <v>223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 s="28" t="s">
        <v>224</v>
      </c>
      <c r="B5" s="23" t="s">
        <v>73</v>
      </c>
      <c r="C5" s="82">
        <v>50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 s="28" t="s">
        <v>225</v>
      </c>
      <c r="B6" s="23" t="s">
        <v>74</v>
      </c>
      <c r="C6" s="82">
        <v>61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s="28" t="s">
        <v>226</v>
      </c>
      <c r="B7" s="23" t="s">
        <v>73</v>
      </c>
      <c r="C7" s="82">
        <v>50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28" t="s">
        <v>227</v>
      </c>
      <c r="B8" s="23" t="s">
        <v>74</v>
      </c>
      <c r="C8" s="82">
        <v>50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 s="28" t="s">
        <v>228</v>
      </c>
      <c r="B9" s="23" t="s">
        <v>73</v>
      </c>
      <c r="C9" s="82">
        <v>42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 s="28" t="s">
        <v>229</v>
      </c>
      <c r="B10" s="23" t="s">
        <v>75</v>
      </c>
      <c r="C10" s="82">
        <v>95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 s="28" t="s">
        <v>51</v>
      </c>
      <c r="B11" s="23" t="s">
        <v>73</v>
      </c>
      <c r="C11" s="82">
        <v>57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s="28" t="s">
        <v>230</v>
      </c>
      <c r="B12" s="23" t="s">
        <v>73</v>
      </c>
      <c r="C12" s="82">
        <v>43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 s="28" t="s">
        <v>231</v>
      </c>
      <c r="B13" s="23" t="s">
        <v>74</v>
      </c>
      <c r="C13" s="82">
        <v>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5">
      <c r="A14" s="28" t="s">
        <v>232</v>
      </c>
      <c r="B14" s="23" t="s">
        <v>73</v>
      </c>
      <c r="C14" s="82">
        <v>55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5">
      <c r="A15" s="28" t="s">
        <v>233</v>
      </c>
      <c r="B15" s="23" t="s">
        <v>73</v>
      </c>
      <c r="C15" s="82">
        <v>42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5">
      <c r="A16" s="28" t="s">
        <v>234</v>
      </c>
      <c r="B16" s="23" t="s">
        <v>73</v>
      </c>
      <c r="C16" s="82">
        <v>41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5">
      <c r="A17" s="28" t="s">
        <v>235</v>
      </c>
      <c r="B17" s="23" t="s">
        <v>73</v>
      </c>
      <c r="C17" s="82">
        <v>43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 s="28" t="s">
        <v>236</v>
      </c>
      <c r="B18" s="23" t="s">
        <v>73</v>
      </c>
      <c r="C18" s="82">
        <v>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5">
      <c r="A19" s="28" t="s">
        <v>237</v>
      </c>
      <c r="B19" s="23" t="s">
        <v>74</v>
      </c>
      <c r="C19" s="82">
        <v>60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5">
      <c r="A20" s="28" t="s">
        <v>238</v>
      </c>
      <c r="B20" s="23" t="s">
        <v>73</v>
      </c>
      <c r="C20" s="82">
        <v>55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28" t="s">
        <v>239</v>
      </c>
      <c r="B21" s="23" t="s">
        <v>73</v>
      </c>
      <c r="C21" s="82">
        <v>42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5">
      <c r="A22" s="28" t="s">
        <v>240</v>
      </c>
      <c r="B22" s="23" t="s">
        <v>73</v>
      </c>
      <c r="C22" s="82">
        <v>43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5">
      <c r="A23" s="28" t="s">
        <v>241</v>
      </c>
      <c r="B23" s="23" t="s">
        <v>73</v>
      </c>
      <c r="C23" s="82">
        <v>40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5">
      <c r="A24" s="28" t="s">
        <v>242</v>
      </c>
      <c r="B24" s="23" t="s">
        <v>73</v>
      </c>
      <c r="C24" s="82">
        <v>41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28" t="s">
        <v>243</v>
      </c>
      <c r="B25" s="23" t="s">
        <v>76</v>
      </c>
      <c r="C25" s="82">
        <v>446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28" t="s">
        <v>244</v>
      </c>
      <c r="B26" s="23" t="s">
        <v>74</v>
      </c>
      <c r="C26" s="82">
        <v>66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28" t="s">
        <v>245</v>
      </c>
      <c r="B27" s="23" t="s">
        <v>74</v>
      </c>
      <c r="C27" s="82">
        <v>55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28" t="s">
        <v>246</v>
      </c>
      <c r="B28" s="23" t="s">
        <v>74</v>
      </c>
      <c r="C28" s="82">
        <v>44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28" t="s">
        <v>247</v>
      </c>
      <c r="B29" s="23" t="s">
        <v>73</v>
      </c>
      <c r="C29" s="82">
        <v>45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28" t="s">
        <v>248</v>
      </c>
      <c r="B30" s="23" t="s">
        <v>74</v>
      </c>
      <c r="C30" s="82">
        <v>55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5">
      <c r="A31" s="28" t="s">
        <v>249</v>
      </c>
      <c r="B31" s="23" t="s">
        <v>73</v>
      </c>
      <c r="C31" s="82">
        <v>53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5">
      <c r="A32" s="28" t="s">
        <v>250</v>
      </c>
      <c r="B32" s="23" t="s">
        <v>73</v>
      </c>
      <c r="C32" s="82">
        <v>55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28" t="s">
        <v>251</v>
      </c>
      <c r="B33" s="23" t="s">
        <v>82</v>
      </c>
      <c r="C33" s="82">
        <v>45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5">
      <c r="A34" s="28" t="s">
        <v>252</v>
      </c>
      <c r="B34" s="23" t="s">
        <v>73</v>
      </c>
      <c r="C34" s="82">
        <v>50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5">
      <c r="A35" s="28" t="s">
        <v>253</v>
      </c>
      <c r="B35" s="23" t="s">
        <v>73</v>
      </c>
      <c r="C35" s="82">
        <v>48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5">
      <c r="A36" s="28" t="s">
        <v>254</v>
      </c>
      <c r="B36" s="23" t="s">
        <v>73</v>
      </c>
      <c r="C36" s="82">
        <v>50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28" t="s">
        <v>255</v>
      </c>
      <c r="B37" s="23" t="s">
        <v>73</v>
      </c>
      <c r="C37" s="82">
        <v>50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A38" s="28" t="s">
        <v>256</v>
      </c>
      <c r="B38" s="23" t="s">
        <v>74</v>
      </c>
      <c r="C38" s="82">
        <v>55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5">
      <c r="A39" s="28" t="s">
        <v>257</v>
      </c>
      <c r="B39" s="23" t="s">
        <v>73</v>
      </c>
      <c r="C39" s="82">
        <v>42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5">
      <c r="A40" s="28" t="s">
        <v>258</v>
      </c>
      <c r="B40" s="23" t="s">
        <v>73</v>
      </c>
      <c r="C40" s="82">
        <v>41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5">
      <c r="A41" s="28" t="s">
        <v>259</v>
      </c>
      <c r="B41" s="23" t="s">
        <v>74</v>
      </c>
      <c r="C41" s="82">
        <v>60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5">
      <c r="A42" s="28" t="s">
        <v>260</v>
      </c>
      <c r="B42" s="23" t="s">
        <v>73</v>
      </c>
      <c r="C42" s="82">
        <v>41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28" t="s">
        <v>261</v>
      </c>
      <c r="B43" s="23" t="s">
        <v>73</v>
      </c>
      <c r="C43" s="82">
        <v>52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5">
      <c r="A44" s="28" t="s">
        <v>262</v>
      </c>
      <c r="B44" s="23" t="s">
        <v>73</v>
      </c>
      <c r="C44" s="82">
        <v>56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5">
      <c r="A45" s="28" t="s">
        <v>263</v>
      </c>
      <c r="B45" s="23" t="s">
        <v>73</v>
      </c>
      <c r="C45" s="82">
        <v>70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5">
      <c r="A46" s="28" t="s">
        <v>264</v>
      </c>
      <c r="B46" s="23" t="s">
        <v>77</v>
      </c>
      <c r="C46" s="82">
        <v>7532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5">
      <c r="A47" s="28" t="s">
        <v>265</v>
      </c>
      <c r="B47" s="23" t="s">
        <v>74</v>
      </c>
      <c r="C47" s="82">
        <v>48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5">
      <c r="A48" s="28" t="s">
        <v>266</v>
      </c>
      <c r="B48" s="23" t="s">
        <v>73</v>
      </c>
      <c r="C48" s="82">
        <v>50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5">
      <c r="A49" s="28" t="s">
        <v>267</v>
      </c>
      <c r="B49" s="23" t="s">
        <v>74</v>
      </c>
      <c r="C49" s="82">
        <v>45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5">
      <c r="A50" s="28" t="s">
        <v>268</v>
      </c>
      <c r="B50" s="23" t="s">
        <v>78</v>
      </c>
      <c r="C50" s="82">
        <v>71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5">
      <c r="A51" s="28" t="s">
        <v>269</v>
      </c>
      <c r="B51" s="23" t="s">
        <v>73</v>
      </c>
      <c r="C51" s="82">
        <v>41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5">
      <c r="A52" s="28" t="s">
        <v>270</v>
      </c>
      <c r="B52" s="23" t="s">
        <v>73</v>
      </c>
      <c r="C52" s="82">
        <v>45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5">
      <c r="A53" s="28" t="s">
        <v>271</v>
      </c>
      <c r="B53" s="23" t="s">
        <v>73</v>
      </c>
      <c r="C53" s="82">
        <v>41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5">
      <c r="A54" s="28" t="s">
        <v>272</v>
      </c>
      <c r="B54" s="23" t="s">
        <v>74</v>
      </c>
      <c r="C54" s="82">
        <v>41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5">
      <c r="A55" s="28" t="s">
        <v>273</v>
      </c>
      <c r="B55" s="23" t="s">
        <v>74</v>
      </c>
      <c r="C55" s="82">
        <v>49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5">
      <c r="A56" s="28" t="s">
        <v>274</v>
      </c>
      <c r="B56" s="23" t="s">
        <v>74</v>
      </c>
      <c r="C56" s="82">
        <v>66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5">
      <c r="A57" s="28" t="s">
        <v>275</v>
      </c>
      <c r="B57" s="23" t="s">
        <v>73</v>
      </c>
      <c r="C57" s="82">
        <v>46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5">
      <c r="A58" s="28" t="s">
        <v>276</v>
      </c>
      <c r="B58" s="23" t="s">
        <v>73</v>
      </c>
      <c r="C58" s="82">
        <v>48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5">
      <c r="A59" s="28" t="s">
        <v>277</v>
      </c>
      <c r="B59" s="23" t="s">
        <v>74</v>
      </c>
      <c r="C59" s="82">
        <v>50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5">
      <c r="A60" s="28" t="s">
        <v>278</v>
      </c>
      <c r="B60" s="23" t="s">
        <v>73</v>
      </c>
      <c r="C60" s="82">
        <v>50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5">
      <c r="A61" s="28" t="s">
        <v>279</v>
      </c>
      <c r="B61" s="23" t="s">
        <v>73</v>
      </c>
      <c r="C61" s="82">
        <v>39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5">
      <c r="A62" s="28" t="s">
        <v>280</v>
      </c>
      <c r="B62" s="23" t="s">
        <v>74</v>
      </c>
      <c r="C62" s="82">
        <v>54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5">
      <c r="A63" s="28" t="s">
        <v>281</v>
      </c>
      <c r="B63" s="23" t="s">
        <v>74</v>
      </c>
      <c r="C63" s="82">
        <v>57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5">
      <c r="A64" s="28" t="s">
        <v>282</v>
      </c>
      <c r="B64" s="23" t="s">
        <v>73</v>
      </c>
      <c r="C64" s="82">
        <v>52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5">
      <c r="A65" s="28" t="s">
        <v>283</v>
      </c>
      <c r="B65" s="23" t="s">
        <v>80</v>
      </c>
      <c r="C65" s="82">
        <v>88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5">
      <c r="A66" s="28" t="s">
        <v>284</v>
      </c>
      <c r="B66" s="23" t="s">
        <v>73</v>
      </c>
      <c r="C66" s="82">
        <v>45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5">
      <c r="A67" s="28" t="s">
        <v>285</v>
      </c>
      <c r="B67" s="23" t="s">
        <v>73</v>
      </c>
      <c r="C67" s="82">
        <v>55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5">
      <c r="A68" s="28" t="s">
        <v>286</v>
      </c>
      <c r="B68" s="23" t="s">
        <v>73</v>
      </c>
      <c r="C68" s="82">
        <v>57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5">
      <c r="A69" s="28" t="s">
        <v>287</v>
      </c>
      <c r="B69" s="23" t="s">
        <v>73</v>
      </c>
      <c r="C69" s="82">
        <v>43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5">
      <c r="A70" s="28" t="s">
        <v>288</v>
      </c>
      <c r="B70" s="23" t="s">
        <v>73</v>
      </c>
      <c r="C70" s="82">
        <v>41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5">
      <c r="A71" s="28" t="s">
        <v>289</v>
      </c>
      <c r="B71" s="23" t="s">
        <v>73</v>
      </c>
      <c r="C71" s="82">
        <v>43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28" t="s">
        <v>290</v>
      </c>
      <c r="B72" s="23" t="s">
        <v>73</v>
      </c>
      <c r="C72" s="82">
        <v>41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5">
      <c r="A73" s="28" t="s">
        <v>291</v>
      </c>
      <c r="B73" s="23" t="s">
        <v>74</v>
      </c>
      <c r="C73" s="82">
        <v>58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5">
      <c r="A74" s="28" t="s">
        <v>292</v>
      </c>
      <c r="B74" s="23" t="s">
        <v>73</v>
      </c>
      <c r="C74" s="82">
        <v>45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5">
      <c r="A75" s="28" t="s">
        <v>293</v>
      </c>
      <c r="B75" s="23" t="s">
        <v>73</v>
      </c>
      <c r="C75" s="82">
        <v>55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5">
      <c r="A76" s="28" t="s">
        <v>294</v>
      </c>
      <c r="B76" s="23" t="s">
        <v>73</v>
      </c>
      <c r="C76" s="82">
        <v>45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5">
      <c r="A77" s="28" t="s">
        <v>47</v>
      </c>
      <c r="B77" s="23" t="s">
        <v>73</v>
      </c>
      <c r="C77" s="82">
        <v>49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5">
      <c r="A78" s="28" t="s">
        <v>295</v>
      </c>
      <c r="B78" s="23" t="s">
        <v>73</v>
      </c>
      <c r="C78" s="82">
        <v>46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5">
      <c r="A79" s="28" t="s">
        <v>296</v>
      </c>
      <c r="B79" s="23" t="s">
        <v>79</v>
      </c>
      <c r="C79" s="82">
        <v>496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5">
      <c r="A80" s="28" t="s">
        <v>297</v>
      </c>
      <c r="B80" s="23" t="s">
        <v>74</v>
      </c>
      <c r="C80" s="82">
        <v>58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5">
      <c r="A81" s="28" t="s">
        <v>298</v>
      </c>
      <c r="B81" s="23" t="s">
        <v>73</v>
      </c>
      <c r="C81" s="82">
        <v>40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5">
      <c r="A82" s="28" t="s">
        <v>299</v>
      </c>
      <c r="B82" s="23" t="s">
        <v>73</v>
      </c>
      <c r="C82" s="82">
        <v>38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5">
      <c r="A83" s="28" t="s">
        <v>300</v>
      </c>
      <c r="B83" s="23" t="s">
        <v>73</v>
      </c>
      <c r="C83" s="82">
        <v>70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5">
      <c r="A84" s="28" t="s">
        <v>301</v>
      </c>
      <c r="B84" s="23" t="s">
        <v>74</v>
      </c>
      <c r="C84" s="82">
        <v>52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5">
      <c r="A85" s="28" t="s">
        <v>302</v>
      </c>
      <c r="B85" s="23" t="s">
        <v>74</v>
      </c>
      <c r="C85" s="82">
        <v>50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5">
      <c r="A86" s="28" t="s">
        <v>303</v>
      </c>
      <c r="B86" s="23" t="s">
        <v>74</v>
      </c>
      <c r="C86" s="82">
        <v>52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5">
      <c r="A87" s="28" t="s">
        <v>304</v>
      </c>
      <c r="B87" s="23" t="s">
        <v>73</v>
      </c>
      <c r="C87" s="82">
        <v>49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5">
      <c r="A88" s="28" t="s">
        <v>305</v>
      </c>
      <c r="B88" s="23" t="s">
        <v>73</v>
      </c>
      <c r="C88" s="82">
        <v>48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5">
      <c r="A89" s="28" t="s">
        <v>306</v>
      </c>
      <c r="B89" s="23" t="s">
        <v>73</v>
      </c>
      <c r="C89" s="82">
        <v>42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5">
      <c r="A90" s="28" t="s">
        <v>307</v>
      </c>
      <c r="B90" s="23" t="s">
        <v>73</v>
      </c>
      <c r="C90" s="82">
        <v>53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5">
      <c r="A91" s="28" t="s">
        <v>308</v>
      </c>
      <c r="B91" s="23" t="s">
        <v>73</v>
      </c>
      <c r="C91" s="82">
        <v>44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5">
      <c r="A92" s="28" t="s">
        <v>309</v>
      </c>
      <c r="B92" s="23" t="s">
        <v>73</v>
      </c>
      <c r="C92" s="82">
        <v>40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5">
      <c r="A93" s="28" t="s">
        <v>310</v>
      </c>
      <c r="B93" s="23" t="s">
        <v>74</v>
      </c>
      <c r="C93" s="82">
        <v>56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5">
      <c r="A94" s="28" t="s">
        <v>311</v>
      </c>
      <c r="B94" s="23" t="s">
        <v>73</v>
      </c>
      <c r="C94" s="82">
        <v>47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5">
      <c r="A95" s="28" t="s">
        <v>312</v>
      </c>
      <c r="B95" s="23" t="s">
        <v>73</v>
      </c>
      <c r="C95" s="82">
        <v>45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5">
      <c r="A96" s="28" t="s">
        <v>313</v>
      </c>
      <c r="B96" s="23" t="s">
        <v>74</v>
      </c>
      <c r="C96" s="82">
        <v>50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5">
      <c r="A97" s="28" t="s">
        <v>314</v>
      </c>
      <c r="B97" s="23" t="s">
        <v>80</v>
      </c>
      <c r="C97" s="82">
        <v>88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5">
      <c r="A98" s="28" t="s">
        <v>315</v>
      </c>
      <c r="B98" s="23" t="s">
        <v>81</v>
      </c>
      <c r="C98" s="82">
        <v>510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5">
      <c r="A99" s="28" t="s">
        <v>316</v>
      </c>
      <c r="B99" s="23" t="s">
        <v>73</v>
      </c>
      <c r="C99" s="82">
        <v>41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5">
      <c r="A100" s="28" t="s">
        <v>317</v>
      </c>
      <c r="B100" s="23" t="s">
        <v>74</v>
      </c>
      <c r="C100" s="82">
        <v>42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28" t="s">
        <v>318</v>
      </c>
      <c r="B101" s="23" t="s">
        <v>73</v>
      </c>
      <c r="C101" s="82">
        <v>40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28" t="s">
        <v>319</v>
      </c>
      <c r="B102" s="23" t="s">
        <v>74</v>
      </c>
      <c r="C102" s="82">
        <v>53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28" t="s">
        <v>320</v>
      </c>
      <c r="B103" s="23" t="s">
        <v>73</v>
      </c>
      <c r="C103" s="82">
        <v>37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28" t="s">
        <v>321</v>
      </c>
      <c r="B104" s="23" t="s">
        <v>74</v>
      </c>
      <c r="C104" s="82">
        <v>53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28" t="s">
        <v>322</v>
      </c>
      <c r="B105" s="23" t="s">
        <v>73</v>
      </c>
      <c r="C105" s="82">
        <v>47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28" t="s">
        <v>323</v>
      </c>
      <c r="B106" s="23" t="s">
        <v>73</v>
      </c>
      <c r="C106" s="82">
        <v>41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28" t="s">
        <v>324</v>
      </c>
      <c r="B107" s="23" t="s">
        <v>74</v>
      </c>
      <c r="C107" s="82">
        <v>50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28" t="s">
        <v>325</v>
      </c>
      <c r="B108" s="23" t="s">
        <v>74</v>
      </c>
      <c r="C108" s="82">
        <v>59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28" t="s">
        <v>326</v>
      </c>
      <c r="B109" s="23" t="s">
        <v>74</v>
      </c>
      <c r="C109" s="82">
        <v>59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28" t="s">
        <v>327</v>
      </c>
      <c r="B110" s="23" t="s">
        <v>74</v>
      </c>
      <c r="C110" s="82">
        <v>59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28" t="s">
        <v>328</v>
      </c>
      <c r="B111" s="23" t="s">
        <v>73</v>
      </c>
      <c r="C111" s="82">
        <v>41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28" t="s">
        <v>329</v>
      </c>
      <c r="B112" s="23" t="s">
        <v>73</v>
      </c>
      <c r="C112" s="82">
        <v>53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28" t="s">
        <v>330</v>
      </c>
      <c r="B113" s="23" t="s">
        <v>74</v>
      </c>
      <c r="C113" s="82">
        <v>60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28" t="s">
        <v>331</v>
      </c>
      <c r="B114" s="23" t="s">
        <v>73</v>
      </c>
      <c r="C114" s="82">
        <v>44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28" t="s">
        <v>332</v>
      </c>
      <c r="B115" s="23" t="s">
        <v>82</v>
      </c>
      <c r="C115" s="82">
        <v>45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28" t="s">
        <v>333</v>
      </c>
      <c r="B116" s="23" t="s">
        <v>74</v>
      </c>
      <c r="C116" s="82">
        <v>53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28" t="s">
        <v>334</v>
      </c>
      <c r="B117" s="23" t="s">
        <v>73</v>
      </c>
      <c r="C117" s="82">
        <v>53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28" t="s">
        <v>335</v>
      </c>
      <c r="B118" s="23" t="s">
        <v>73</v>
      </c>
      <c r="C118" s="82">
        <v>33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28" t="s">
        <v>336</v>
      </c>
      <c r="B119" s="23" t="s">
        <v>73</v>
      </c>
      <c r="C119" s="82">
        <v>39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28" t="s">
        <v>337</v>
      </c>
      <c r="B120" s="23" t="s">
        <v>73</v>
      </c>
      <c r="C120" s="82">
        <v>43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35">
      <c r="A121" s="83" t="s">
        <v>338</v>
      </c>
      <c r="B121" s="23" t="s">
        <v>73</v>
      </c>
      <c r="C121" s="82">
        <v>41</v>
      </c>
    </row>
  </sheetData>
  <sheetProtection sheet="1" objects="1" scenarios="1" formatCells="0" formatColumns="0" formatRows="0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20"/>
  <sheetViews>
    <sheetView showGridLines="0" workbookViewId="0"/>
  </sheetViews>
  <sheetFormatPr defaultRowHeight="14.5" x14ac:dyDescent="0.35"/>
  <cols>
    <col min="1" max="1" width="2" customWidth="1"/>
    <col min="2" max="2" width="46" customWidth="1"/>
    <col min="3" max="3" width="12" customWidth="1"/>
    <col min="4" max="4" width="60" customWidth="1"/>
  </cols>
  <sheetData>
    <row r="1" spans="1:22" ht="20" x14ac:dyDescent="0.4">
      <c r="A1" s="1"/>
      <c r="B1" s="2" t="s">
        <v>339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" t="s">
        <v>340</v>
      </c>
      <c r="C3" s="84">
        <v>0.15</v>
      </c>
      <c r="D3" s="37" t="s">
        <v>341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 t="s">
        <v>342</v>
      </c>
      <c r="C4" s="84">
        <v>0.3</v>
      </c>
      <c r="D4" s="37" t="s">
        <v>341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 s="1"/>
      <c r="B5" s="1" t="s">
        <v>343</v>
      </c>
      <c r="C5" s="84">
        <v>0.3</v>
      </c>
      <c r="D5" s="37" t="s">
        <v>341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</sheetData>
  <sheetProtection sheet="1" objects="1" scenarios="1" formatCells="0" formatColumns="0" formatRow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3</vt:i4>
      </vt:variant>
    </vt:vector>
  </HeadingPairs>
  <TitlesOfParts>
    <vt:vector size="10" baseType="lpstr">
      <vt:lpstr>Kalkulator</vt:lpstr>
      <vt:lpstr>Raport</vt:lpstr>
      <vt:lpstr>Delegacja</vt:lpstr>
      <vt:lpstr>Instrukcja</vt:lpstr>
      <vt:lpstr>Kursy NBP</vt:lpstr>
      <vt:lpstr>Kraje</vt:lpstr>
      <vt:lpstr>Parametry</vt:lpstr>
      <vt:lpstr>Delegacja!Obszar_wydruku</vt:lpstr>
      <vt:lpstr>Kalkulator!Obszar_wydruku</vt:lpstr>
      <vt:lpstr>Raport!Obszar_wydruku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2026-10-09T21:20:38Z</dcterms:created>
  <dcterms:modified xsi:type="dcterms:W3CDTF">2026-10-09T21:20:50Z</dcterms:modified>
</cp:coreProperties>
</file>